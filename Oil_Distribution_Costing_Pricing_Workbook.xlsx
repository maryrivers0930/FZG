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9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Business Settings" sheetId="2" state="visible" r:id="rId4"/>
    <sheet name="Product Costing" sheetId="3" state="visible" r:id="rId5"/>
    <sheet name="Pricing Calculator" sheetId="4" state="visible" r:id="rId6"/>
    <sheet name="Retail &amp; Wholesale Pricing" sheetId="5" state="visible" r:id="rId7"/>
    <sheet name="Supplier Comparison" sheetId="6" state="visible" r:id="rId8"/>
    <sheet name="Profit Simulator" sheetId="7" state="visible" r:id="rId9"/>
    <sheet name="Sensitivity Analysis" sheetId="8" state="visible" r:id="rId10"/>
    <sheet name="Dashboard" sheetId="9" state="visible" r:id="rId11"/>
    <sheet name="Break-even Calculator" sheetId="10" state="visible" r:id="rId12"/>
    <sheet name="Price Negotiation Tool" sheetId="11" state="visible" r:id="rId13"/>
    <sheet name="Reverse Cost Calculator" sheetId="12" state="visible" r:id="rId14"/>
    <sheet name="Product Profitability Summary" sheetId="13" state="visible" r:id="rId15"/>
    <sheet name="Inventory Planning" sheetId="14" state="visible" r:id="rId16"/>
  </sheets>
  <definedNames>
    <definedName function="false" hidden="false" name="Currency_Label" vbProcedure="false">'Business Settings'!$B$5</definedName>
    <definedName function="false" hidden="false" name="Default_Retail_Margin" vbProcedure="false">'Business Settings'!$B$10</definedName>
    <definedName function="false" hidden="false" name="Default_Retail_Markup" vbProcedure="false">'Business Settings'!$B$9</definedName>
    <definedName function="false" hidden="false" name="Default_Wholesale_Margin" vbProcedure="false">'Business Settings'!$B$14</definedName>
    <definedName function="false" hidden="false" name="Default_Wholesale_Markup" vbProcedure="false">'Business Settings'!$B$13</definedName>
    <definedName function="false" hidden="false" name="DiscountTierLabels" vbProcedure="false">'Business Settings'!$A$21:$A$25</definedName>
    <definedName function="false" hidden="false" name="DiscountTierPct" vbProcedure="false">'Business Settings'!$D$21:$D$25</definedName>
    <definedName function="false" hidden="false" name="Freight_Allocation_Method" vbProcedure="false">'Business Settings'!$B$17</definedName>
    <definedName function="false" hidden="false" name="ProductCostPerUnitRange" vbProcedure="false">'Product Costing'!$AC$4:$AC$23</definedName>
    <definedName function="false" hidden="false" name="ProductLandedCostRange" vbProcedure="false">'Product Costing'!$AB$4:$AB$23</definedName>
    <definedName function="false" hidden="false" name="ProductNameList" vbProcedure="false">'Product Costing'!$A$4:$A$23</definedName>
    <definedName function="false" hidden="false" name="VAT_Rate" vbProcedure="false">'Business Settings'!$B$6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<sst xmlns="http://schemas.openxmlformats.org/spreadsheetml/2006/main" count="513" uniqueCount="282">
  <si>
    <t xml:space="preserve">OIL DISTRIBUTION — COSTING &amp; PRICING WORKBOOK</t>
  </si>
  <si>
    <t xml:space="preserve">A formula-driven workbook to cost products, set retail &amp; wholesale prices, compare suppliers, and test pricing scenarios. No macros or VBA are used.</t>
  </si>
  <si>
    <t xml:space="preserve">COLOR CODE — WHAT EACH CELL COLOR MEANS</t>
  </si>
  <si>
    <t xml:space="preserve">INPUT</t>
  </si>
  <si>
    <t xml:space="preserve">Blue text on pale yellow. Type your own numbers/text here. Safe to edit.</t>
  </si>
  <si>
    <t xml:space="preserve">FORMULA</t>
  </si>
  <si>
    <t xml:space="preserve">Black text, white background. Calculated automatically — do not overwrite. Sheets are protected so these are locked.</t>
  </si>
  <si>
    <t xml:space="preserve">KEY OUTPUT</t>
  </si>
  <si>
    <t xml:space="preserve">Bold green text on pale green. The main answer/result of a section.</t>
  </si>
  <si>
    <t xml:space="preserve">WHAT EACH WORKSHEET DOES</t>
  </si>
  <si>
    <t xml:space="preserve">Business Settings</t>
  </si>
  <si>
    <t xml:space="preserve">Business-wide assumptions (markups, margins, VAT, currency, freight allocation, quantity-discount tiers). Edit here and the values flow automatically into every other sheet.</t>
  </si>
  <si>
    <t xml:space="preserve">Product Costing</t>
  </si>
  <si>
    <t xml:space="preserve">Your product database. One row per product/purchase: supplier, purchase cost, quantity, and up to 8 renameable expenses. Automatically computes Total Expenses, Total Landed Cost, and Cost per Unit.</t>
  </si>
  <si>
    <t xml:space="preserve">Pricing Calculator</t>
  </si>
  <si>
    <t xml:space="preserve">Three quick calculators: (1) Cost -&gt; Selling Price, (2) Selling Price -&gt; Maximum Purchase Cost, (3) Target Profit -&gt; Selling Price.</t>
  </si>
  <si>
    <t xml:space="preserve">Retail &amp; Wholesale Pricing</t>
  </si>
  <si>
    <t xml:space="preserve">Enter a product's cost once and see Retail price, Wholesale price, and 5 quantity-discount tiers, all updating together.</t>
  </si>
  <si>
    <t xml:space="preserve">Supplier Comparison</t>
  </si>
  <si>
    <t xml:space="preserve">Compare up to 4 suppliers for the same product side by side. Lowest cost and highest profit are highlighted automatically.</t>
  </si>
  <si>
    <t xml:space="preserve">Profit Simulator</t>
  </si>
  <si>
    <t xml:space="preserve">A free-form 'what if' scenario sheet — change any cost, expense or markup and instantly see the new price, profit and margin.</t>
  </si>
  <si>
    <t xml:space="preserve">Sensitivity Analysis</t>
  </si>
  <si>
    <t xml:space="preserve">Shows what happens to profit if purchase cost, expenses, or selling price move up or down.</t>
  </si>
  <si>
    <t xml:space="preserve">Dashboard</t>
  </si>
  <si>
    <t xml:space="preserve">Pick a product from the dropdown and see all its key numbers (KPIs) and two simple charts in one place.</t>
  </si>
  <si>
    <t xml:space="preserve">Break-even Calculator</t>
  </si>
  <si>
    <t xml:space="preserve">The minimum selling price where you don't lose money, plus your safety cushion at your current price.</t>
  </si>
  <si>
    <t xml:space="preserve">Price Negotiation Tool</t>
  </si>
  <si>
    <t xml:space="preserve">See exactly how a new supplier quote changes your cost, profit, and the selling price you'd need to hold your margin.</t>
  </si>
  <si>
    <t xml:space="preserve">Reverse Cost Calculator</t>
  </si>
  <si>
    <t xml:space="preserve">Working backward from a customer's budget and your desired profit, finds the maximum you can afford to pay a supplier.</t>
  </si>
  <si>
    <t xml:space="preserve">Product Profitability Summary</t>
  </si>
  <si>
    <t xml:space="preserve">All products ranked automatically from most to least profitable (retail).</t>
  </si>
  <si>
    <t xml:space="preserve">Inventory Planning</t>
  </si>
  <si>
    <t xml:space="preserve">Simple beginning/purchases/sold tracker with ending inventory and inventory value.</t>
  </si>
  <si>
    <t xml:space="preserve">HOW THE CALCULATIONS WORK</t>
  </si>
  <si>
    <t xml:space="preserve">- Cost per Unit = (Purchase Cost + all 8 expenses) / Quantity Purchased. This is your true landed cost.</t>
  </si>
  <si>
    <t xml:space="preserve">- Selling Price = Cost per Unit x (1 + Markup %).   Profit = Selling Price - Cost.   Margin % = Profit / Selling Price.   Markup % = Profit / Cost. Margin and markup are NOT the same thing — margin is profit as a % of price, markup is profit as a % of cost.</t>
  </si>
  <si>
    <t xml:space="preserve">- Business Settings' default markup/margin % flow into Retail &amp; Wholesale Pricing, Profit Simulator, Dashboard and Product Profitability Summary automatically. Overwrite the pre-filled % on any of those sheets to test a different rate for one product without changing the global default.</t>
  </si>
  <si>
    <t xml:space="preserve">- Product Profitability Summary re-ranks itself automatically whenever costs or prices change - no manual sorting needed.</t>
  </si>
  <si>
    <t xml:space="preserve">- To add a new product: go to Product Costing and type into the next blank row under the table (row 22 onward) - formulas are already pre-built through row 21; copy row 21's formula cells down if you need more than 20 products.</t>
  </si>
  <si>
    <t xml:space="preserve">- Sheets are protected (no password) so formulas can't be overwritten by accident. Editable (yellow) cells still work normally. To make structural changes, use Review &gt; Unprotect Sheet.</t>
  </si>
  <si>
    <t xml:space="preserve">CURRENCY NOTE</t>
  </si>
  <si>
    <t xml:space="preserve">Number formats default to a plain '#,##0.00' style. Set your currency label on the Business Settings sheet; if you'd like an actual currency symbol baked into the cell format, select the relevant cells and use Format Cells &gt; Number &gt; Currency in Excel.</t>
  </si>
  <si>
    <t xml:space="preserve">BUSINESS SETTINGS</t>
  </si>
  <si>
    <t xml:space="preserve">Edit the yellow input cells below. These defaults automatically flow into every other worksheet in this workbook.</t>
  </si>
  <si>
    <t xml:space="preserve">GENERAL</t>
  </si>
  <si>
    <t xml:space="preserve">Currency Label</t>
  </si>
  <si>
    <t xml:space="preserve">PHP</t>
  </si>
  <si>
    <t xml:space="preserve">For your reference / labeling (e.g. PHP, USD, EUR). See Read Me for currency formatting.</t>
  </si>
  <si>
    <t xml:space="preserve">VAT / Sales Tax Rate</t>
  </si>
  <si>
    <t xml:space="preserve">Informational — apply manually where VAT is relevant to your pricing.</t>
  </si>
  <si>
    <t xml:space="preserve">RETAIL PRICING DEFAULTS</t>
  </si>
  <si>
    <t xml:space="preserve">Default Retail Markup %</t>
  </si>
  <si>
    <t xml:space="preserve">Default Retail Profit Margin %</t>
  </si>
  <si>
    <t xml:space="preserve">Reference only; retail sheets calculate price from Markup %.</t>
  </si>
  <si>
    <t xml:space="preserve">WHOLESALE PRICING DEFAULTS</t>
  </si>
  <si>
    <t xml:space="preserve">Default Wholesale Markup %</t>
  </si>
  <si>
    <t xml:space="preserve">Default Wholesale Profit Margin %</t>
  </si>
  <si>
    <t xml:space="preserve">Reference only; wholesale sheets calculate price from Markup %.</t>
  </si>
  <si>
    <t xml:space="preserve">FREIGHT &amp; ALLOCATION</t>
  </si>
  <si>
    <t xml:space="preserve">Default Freight Allocation Method</t>
  </si>
  <si>
    <t xml:space="preserve">Per Unit</t>
  </si>
  <si>
    <t xml:space="preserve">Informational tag describing how you allocate freight in Product Costing.</t>
  </si>
  <si>
    <t xml:space="preserve">DEFAULT QUANTITY DISCOUNT TIERS</t>
  </si>
  <si>
    <t xml:space="preserve">Tier (Quantity Range)</t>
  </si>
  <si>
    <t xml:space="preserve">Min Qty</t>
  </si>
  <si>
    <t xml:space="preserve">Max Qty</t>
  </si>
  <si>
    <t xml:space="preserve">Discount %</t>
  </si>
  <si>
    <t xml:space="preserve">1-9 units</t>
  </si>
  <si>
    <t xml:space="preserve">10-24 units</t>
  </si>
  <si>
    <t xml:space="preserve">25-49 units</t>
  </si>
  <si>
    <t xml:space="preserve">50-99 units</t>
  </si>
  <si>
    <t xml:space="preserve">100+ units</t>
  </si>
  <si>
    <t xml:space="preserve">PRODUCT COSTING</t>
  </si>
  <si>
    <t xml:space="preserve">One row per product/purchase. Rename expense labels to match your business. Add new products in the next blank row below the table.</t>
  </si>
  <si>
    <t xml:space="preserve">Product Name</t>
  </si>
  <si>
    <t xml:space="preserve">Brand</t>
  </si>
  <si>
    <t xml:space="preserve">Category</t>
  </si>
  <si>
    <t xml:space="preserve">SKU</t>
  </si>
  <si>
    <t xml:space="preserve">Packaging Size</t>
  </si>
  <si>
    <t xml:space="preserve">Unit of Measure</t>
  </si>
  <si>
    <t xml:space="preserve">Units per Case</t>
  </si>
  <si>
    <t xml:space="preserve">Supplier Name</t>
  </si>
  <si>
    <t xml:space="preserve">Purchase Cost</t>
  </si>
  <si>
    <t xml:space="preserve">Quantity Purchased</t>
  </si>
  <si>
    <t xml:space="preserve">Expense 1 Name</t>
  </si>
  <si>
    <t xml:space="preserve">Expense 1 Amount</t>
  </si>
  <si>
    <t xml:space="preserve">Expense 2 Name</t>
  </si>
  <si>
    <t xml:space="preserve">Expense 2 Amount</t>
  </si>
  <si>
    <t xml:space="preserve">Expense 3 Name</t>
  </si>
  <si>
    <t xml:space="preserve">Expense 3 Amount</t>
  </si>
  <si>
    <t xml:space="preserve">Expense 4 Name</t>
  </si>
  <si>
    <t xml:space="preserve">Expense 4 Amount</t>
  </si>
  <si>
    <t xml:space="preserve">Expense 5 Name</t>
  </si>
  <si>
    <t xml:space="preserve">Expense 5 Amount</t>
  </si>
  <si>
    <t xml:space="preserve">Expense 6 Name</t>
  </si>
  <si>
    <t xml:space="preserve">Expense 6 Amount</t>
  </si>
  <si>
    <t xml:space="preserve">Expense 7 Name</t>
  </si>
  <si>
    <t xml:space="preserve">Expense 7 Amount</t>
  </si>
  <si>
    <t xml:space="preserve">Expense 8 Name</t>
  </si>
  <si>
    <t xml:space="preserve">Expense 8 Amount</t>
  </si>
  <si>
    <t xml:space="preserve">Total Expenses</t>
  </si>
  <si>
    <t xml:space="preserve">Total Landed Cost</t>
  </si>
  <si>
    <t xml:space="preserve">Cost per Unit</t>
  </si>
  <si>
    <t xml:space="preserve">10W-40 Motor Oil 1L</t>
  </si>
  <si>
    <t xml:space="preserve">PetroMax</t>
  </si>
  <si>
    <t xml:space="preserve">Motor Oil</t>
  </si>
  <si>
    <t xml:space="preserve">MO-1040-1L</t>
  </si>
  <si>
    <t xml:space="preserve">1 Liter</t>
  </si>
  <si>
    <t xml:space="preserve">Liter</t>
  </si>
  <si>
    <t xml:space="preserve">Gulf Petroleum Supplier</t>
  </si>
  <si>
    <t xml:space="preserve">Freight</t>
  </si>
  <si>
    <t xml:space="preserve">Delivery</t>
  </si>
  <si>
    <t xml:space="preserve">Packaging</t>
  </si>
  <si>
    <t xml:space="preserve">Storage</t>
  </si>
  <si>
    <t xml:space="preserve">Labor</t>
  </si>
  <si>
    <t xml:space="preserve">Fuel</t>
  </si>
  <si>
    <t xml:space="preserve">Customs</t>
  </si>
  <si>
    <t xml:space="preserve">Miscellaneous</t>
  </si>
  <si>
    <t xml:space="preserve">20W-50 Motor Oil 4L</t>
  </si>
  <si>
    <t xml:space="preserve">MO-2050-4L</t>
  </si>
  <si>
    <t xml:space="preserve">4 Liters</t>
  </si>
  <si>
    <t xml:space="preserve">Atlas Distributors</t>
  </si>
  <si>
    <t xml:space="preserve">Hydraulic Oil 20L Drum</t>
  </si>
  <si>
    <t xml:space="preserve">HydroTech</t>
  </si>
  <si>
    <t xml:space="preserve">Industrial Oil</t>
  </si>
  <si>
    <t xml:space="preserve">HYD-20L</t>
  </si>
  <si>
    <t xml:space="preserve">20 Liters</t>
  </si>
  <si>
    <t xml:space="preserve">Drum</t>
  </si>
  <si>
    <t xml:space="preserve">Coastal Oil Traders</t>
  </si>
  <si>
    <t xml:space="preserve">PRICING CALCULATOR</t>
  </si>
  <si>
    <t xml:space="preserve">Three independent calculators. Fill in the yellow inputs for each mode.</t>
  </si>
  <si>
    <t xml:space="preserve">MODE 1 - COST TO SELLING PRICE</t>
  </si>
  <si>
    <t xml:space="preserve">Purchase Cost per Unit</t>
  </si>
  <si>
    <t xml:space="preserve">Enter what the product costs you and how much profit per unit you want to earn.</t>
  </si>
  <si>
    <t xml:space="preserve">Total Expenses per Unit</t>
  </si>
  <si>
    <t xml:space="preserve">Desired Profit per Unit</t>
  </si>
  <si>
    <t xml:space="preserve">Total Cost per Unit</t>
  </si>
  <si>
    <t xml:space="preserve">Required Selling Price</t>
  </si>
  <si>
    <t xml:space="preserve">Profit</t>
  </si>
  <si>
    <t xml:space="preserve">Profit Margin %</t>
  </si>
  <si>
    <t xml:space="preserve">Markup %</t>
  </si>
  <si>
    <t xml:space="preserve">MODE 2 - SELLING PRICE TO MAXIMUM PURCHASE COST</t>
  </si>
  <si>
    <t xml:space="preserve">Selling Price</t>
  </si>
  <si>
    <t xml:space="preserve">Use this to test whether a supplier's quoted price still lets you hit your selling price and profit target.</t>
  </si>
  <si>
    <t xml:space="preserve">Expenses per Unit</t>
  </si>
  <si>
    <t xml:space="preserve">Maximum Purchase Cost Allowed</t>
  </si>
  <si>
    <t xml:space="preserve">Implied Margin %</t>
  </si>
  <si>
    <t xml:space="preserve">Implied Markup %</t>
  </si>
  <si>
    <t xml:space="preserve">MODE 3 - TARGET PROFIT</t>
  </si>
  <si>
    <t xml:space="preserve">Same idea as Mode 1, but framed around a total target profit figure you set (e.g. per container/shipment) rather than a markup.</t>
  </si>
  <si>
    <t xml:space="preserve">Target Profit Amount per Unit</t>
  </si>
  <si>
    <t xml:space="preserve">RETAIL &amp; WHOLESALE PRICING</t>
  </si>
  <si>
    <t xml:space="preserve">Enter the product's cost once - retail, wholesale, and quantity-discount pricing all update automatically.</t>
  </si>
  <si>
    <t xml:space="preserve">PRODUCT COST (enter once)</t>
  </si>
  <si>
    <t xml:space="preserve">RETAIL PRICING</t>
  </si>
  <si>
    <t xml:space="preserve">WHOLESALE PRICING</t>
  </si>
  <si>
    <t xml:space="preserve">Retail Markup %</t>
  </si>
  <si>
    <t xml:space="preserve">Minimum Order Quantity (MOQ)</t>
  </si>
  <si>
    <t xml:space="preserve">Retail Selling Price</t>
  </si>
  <si>
    <t xml:space="preserve">Wholesale Markup %</t>
  </si>
  <si>
    <t xml:space="preserve">Retail Profit</t>
  </si>
  <si>
    <t xml:space="preserve">Wholesale Selling Price</t>
  </si>
  <si>
    <t xml:space="preserve">Retail Margin %</t>
  </si>
  <si>
    <t xml:space="preserve">Wholesale Profit</t>
  </si>
  <si>
    <t xml:space="preserve">Retail Markup % (check)</t>
  </si>
  <si>
    <t xml:space="preserve">Wholesale Margin %</t>
  </si>
  <si>
    <t xml:space="preserve">Wholesale Markup % (check)</t>
  </si>
  <si>
    <t xml:space="preserve">QUANTITY DISCOUNT PRICING (applied to Wholesale Selling Price)</t>
  </si>
  <si>
    <t xml:space="preserve">Quantity Tier</t>
  </si>
  <si>
    <t xml:space="preserve">Final Selling Price</t>
  </si>
  <si>
    <t xml:space="preserve">Margin %</t>
  </si>
  <si>
    <t xml:space="preserve">SUPPLIER COMPARISON</t>
  </si>
  <si>
    <t xml:space="preserve">Compare up to 4 supplier quotes for the same product. Best values are highlighted automatically.</t>
  </si>
  <si>
    <t xml:space="preserve">COMPARISON ASSUMPTIONS (applied to every supplier)</t>
  </si>
  <si>
    <t xml:space="preserve">Assumed Retail Selling Price</t>
  </si>
  <si>
    <t xml:space="preserve">Assumed Wholesale Selling Price</t>
  </si>
  <si>
    <t xml:space="preserve">Quantity Purchased (per quote)</t>
  </si>
  <si>
    <t xml:space="preserve">Metric</t>
  </si>
  <si>
    <t xml:space="preserve">Supplier A</t>
  </si>
  <si>
    <t xml:space="preserve">Supplier B</t>
  </si>
  <si>
    <t xml:space="preserve">Supplier C</t>
  </si>
  <si>
    <t xml:space="preserve">Supplier D</t>
  </si>
  <si>
    <t xml:space="preserve">Purchase Cost (total)</t>
  </si>
  <si>
    <t xml:space="preserve">Other Charges</t>
  </si>
  <si>
    <t xml:space="preserve">Combined Profit (Retail + Wholesale)</t>
  </si>
  <si>
    <t xml:space="preserve">BEST SUPPLIER SUMMARY</t>
  </si>
  <si>
    <t xml:space="preserve">Lowest Cost Supplier</t>
  </si>
  <si>
    <t xml:space="preserve">Highest Retail Profit Supplier</t>
  </si>
  <si>
    <t xml:space="preserve">Highest Wholesale Profit Supplier</t>
  </si>
  <si>
    <t xml:space="preserve">Best Overall Supplier (Retail + Wholesale)</t>
  </si>
  <si>
    <t xml:space="preserve">PROFIT SIMULATOR</t>
  </si>
  <si>
    <t xml:space="preserve">Change any cost, expense or markup below to instantly see the effect on price, profit and margin.</t>
  </si>
  <si>
    <t xml:space="preserve">SCENARIO INPUTS</t>
  </si>
  <si>
    <t xml:space="preserve">Freight per Unit</t>
  </si>
  <si>
    <t xml:space="preserve">Other Expenses per Unit</t>
  </si>
  <si>
    <t xml:space="preserve">RESULTS</t>
  </si>
  <si>
    <t xml:space="preserve">New Selling Price (Cost + Desired Profit)</t>
  </si>
  <si>
    <t xml:space="preserve">New Retail Selling Price (Markup-based)</t>
  </si>
  <si>
    <t xml:space="preserve">New Wholesale Selling Price (Markup-based)</t>
  </si>
  <si>
    <t xml:space="preserve">Profit @ Target-Profit Price</t>
  </si>
  <si>
    <t xml:space="preserve">Cost per Unit (reference)</t>
  </si>
  <si>
    <t xml:space="preserve">SENSITIVITY ANALYSIS</t>
  </si>
  <si>
    <t xml:space="preserve">See how profit, margin and markup move when purchase cost, expenses, or selling price change.</t>
  </si>
  <si>
    <t xml:space="preserve">BASE CASE</t>
  </si>
  <si>
    <t xml:space="preserve">Base Purchase Cost per Unit</t>
  </si>
  <si>
    <t xml:space="preserve">Base Expenses per Unit</t>
  </si>
  <si>
    <t xml:space="preserve">Base Selling Price</t>
  </si>
  <si>
    <t xml:space="preserve">Base Total Cost</t>
  </si>
  <si>
    <t xml:space="preserve">Base Profit</t>
  </si>
  <si>
    <t xml:space="preserve">Base Margin %</t>
  </si>
  <si>
    <t xml:space="preserve">Base Markup %</t>
  </si>
  <si>
    <t xml:space="preserve">PURCHASE COST SENSITIVITY (at Base Selling Price)</t>
  </si>
  <si>
    <t xml:space="preserve">Change %</t>
  </si>
  <si>
    <t xml:space="preserve">New Purchase Cost</t>
  </si>
  <si>
    <t xml:space="preserve">New Expenses</t>
  </si>
  <si>
    <t xml:space="preserve">New Total Cost / New Selling Price</t>
  </si>
  <si>
    <t xml:space="preserve">Margin % / Markup %</t>
  </si>
  <si>
    <t xml:space="preserve">EXPENSE INCREASE SENSITIVITY (at Base Selling Price)</t>
  </si>
  <si>
    <t xml:space="preserve">SELLING PRICE SENSITIVITY (at Base Total Cost)</t>
  </si>
  <si>
    <t xml:space="preserve">DASHBOARD</t>
  </si>
  <si>
    <t xml:space="preserve">Pick a product to see its full cost &amp; pricing picture in one place.</t>
  </si>
  <si>
    <t xml:space="preserve">Helper cells - do not edit</t>
  </si>
  <si>
    <t xml:space="preserve">Select Product:</t>
  </si>
  <si>
    <t xml:space="preserve">Supplier</t>
  </si>
  <si>
    <t xml:space="preserve">KEY PERFORMANCE INDICATORS</t>
  </si>
  <si>
    <t xml:space="preserve">Markup % (Retail)</t>
  </si>
  <si>
    <t xml:space="preserve">Break-even Selling Price</t>
  </si>
  <si>
    <t xml:space="preserve">CHART DATA - PROFIT COMPARISON</t>
  </si>
  <si>
    <t xml:space="preserve">EXPENSE BREAKDOWN (Selected Product)</t>
  </si>
  <si>
    <t xml:space="preserve">Expense</t>
  </si>
  <si>
    <t xml:space="preserve">Amount</t>
  </si>
  <si>
    <t xml:space="preserve">BREAK-EVEN CALCULATOR</t>
  </si>
  <si>
    <t xml:space="preserve">What's the minimum selling price where you don't lose money?</t>
  </si>
  <si>
    <t xml:space="preserve">INPUTS</t>
  </si>
  <si>
    <t xml:space="preserve">Current Selling Price</t>
  </si>
  <si>
    <t xml:space="preserve">The selling price at which profit is exactly zero.</t>
  </si>
  <si>
    <t xml:space="preserve">Profit at Current Selling Price</t>
  </si>
  <si>
    <t xml:space="preserve">Safety Margin %</t>
  </si>
  <si>
    <t xml:space="preserve">How much your current price could drop before you hit break-even.</t>
  </si>
  <si>
    <t xml:space="preserve">PRICE NEGOTIATION TOOL</t>
  </si>
  <si>
    <t xml:space="preserve">See how a new supplier quote changes your cost, profit, and required selling price.</t>
  </si>
  <si>
    <t xml:space="preserve">CURRENT SITUATION</t>
  </si>
  <si>
    <t xml:space="preserve">Current Purchase Cost per Unit</t>
  </si>
  <si>
    <t xml:space="preserve">Current Total Cost</t>
  </si>
  <si>
    <t xml:space="preserve">Current Profit</t>
  </si>
  <si>
    <t xml:space="preserve">Current Margin %</t>
  </si>
  <si>
    <t xml:space="preserve">NEW SUPPLIER OFFER</t>
  </si>
  <si>
    <t xml:space="preserve">New Purchase Cost per Unit</t>
  </si>
  <si>
    <t xml:space="preserve">New Total Cost</t>
  </si>
  <si>
    <t xml:space="preserve">New Profit (at current Selling Price)</t>
  </si>
  <si>
    <t xml:space="preserve">New Margin % (at current Selling Price)</t>
  </si>
  <si>
    <t xml:space="preserve">New Markup %</t>
  </si>
  <si>
    <t xml:space="preserve">Profit Impact ($ change)</t>
  </si>
  <si>
    <t xml:space="preserve">Selling Price to Maintain Current Margin %</t>
  </si>
  <si>
    <t xml:space="preserve">The price you'd need to charge at the new cost to keep the same margin % you have today.</t>
  </si>
  <si>
    <t xml:space="preserve">REVERSE COST CALCULATOR</t>
  </si>
  <si>
    <t xml:space="preserve">Work backward from a customer's budget and your desired profit to find the maximum you can pay a supplier.</t>
  </si>
  <si>
    <t xml:space="preserve">Customer Budget (Target Selling Price)</t>
  </si>
  <si>
    <t xml:space="preserve">Use this figure as your ceiling when negotiating a supplier price.</t>
  </si>
  <si>
    <t xml:space="preserve">Resulting Margin %</t>
  </si>
  <si>
    <t xml:space="preserve">Resulting Markup %</t>
  </si>
  <si>
    <t xml:space="preserve">PRODUCT PROFITABILITY SUMMARY</t>
  </si>
  <si>
    <t xml:space="preserve">Populated Count</t>
  </si>
  <si>
    <t xml:space="preserve">All products from Product Costing, ranked automatically from highest to lowest retail profit. Re-ranks itself whenever costs or markups change.</t>
  </si>
  <si>
    <t xml:space="preserve">Rank</t>
  </si>
  <si>
    <t xml:space="preserve">Product</t>
  </si>
  <si>
    <t xml:space="preserve">Retail Price</t>
  </si>
  <si>
    <t xml:space="preserve">Wholesale Price</t>
  </si>
  <si>
    <t xml:space="preserve">HELPER - DO NOT EDIT (raw data pulled from Product Costing)</t>
  </si>
  <si>
    <t xml:space="preserve">INVENTORY PLANNING</t>
  </si>
  <si>
    <t xml:space="preserve">A simple beginning/purchases/sold tracker for one product at a time.</t>
  </si>
  <si>
    <t xml:space="preserve">INVENTORY</t>
  </si>
  <si>
    <t xml:space="preserve">Beginning Inventory (units)</t>
  </si>
  <si>
    <t xml:space="preserve">Purchases (units)</t>
  </si>
  <si>
    <t xml:space="preserve">Units Sold</t>
  </si>
  <si>
    <t xml:space="preserve">Ending Inventory (units)</t>
  </si>
  <si>
    <t xml:space="preserve">Cost per Unit (selected product)</t>
  </si>
  <si>
    <t xml:space="preserve">Auto-filled from Product Costing. You can overwrite it to test a different cost assumption.</t>
  </si>
  <si>
    <t xml:space="preserve">Inventory Value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</si>
</sst>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#,##0"/>
    <numFmt numFmtId="167" formatCode="#,##0.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33CC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33CC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1"/>
      <color rgb="FF37562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8"/>
      <color rgb="FF80808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4672A8"/>
      </patternFill>
    </fill>
    <fill>
      <patternFill patternType="solid">
        <fgColor rgb="FFFFF9DB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E2EFDA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3" fillId="4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7" fontId="13" fillId="4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7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2F5496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fgColor rgb="FF0033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11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AA64F"/>
      <rgbColor rgb="FF800080"/>
      <rgbColor rgb="FF4F81BD"/>
      <rgbColor rgb="FFB7B7B7"/>
      <rgbColor rgb="FF808080"/>
      <rgbColor rgb="FF93A9CE"/>
      <rgbColor rgb="FFAB4744"/>
      <rgbColor rgb="FFFFF9DB"/>
      <rgbColor rgb="FFE2EFDA"/>
      <rgbColor rgb="FF660066"/>
      <rgbColor rgb="FFDC853E"/>
      <rgbColor rgb="FF0033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6EFCE"/>
      <rgbColor rgb="FFFFFF99"/>
      <rgbColor rgb="FF99CCFF"/>
      <rgbColor rgb="FFD09493"/>
      <rgbColor rgb="FFCC99FF"/>
      <rgbColor rgb="FFFFC7CE"/>
      <rgbColor rgb="FF4672A8"/>
      <rgbColor rgb="FF33CCCC"/>
      <rgbColor rgb="FF99CC00"/>
      <rgbColor rgb="FFFFCC00"/>
      <rgbColor rgb="FFFF9900"/>
      <rgbColor rgb="FFFF6600"/>
      <rgbColor rgb="FF725990"/>
      <rgbColor rgb="FF878787"/>
      <rgbColor rgb="FF1F3864"/>
      <rgbColor rgb="FF4299B0"/>
      <rgbColor rgb="FF003300"/>
      <rgbColor rgb="FF333300"/>
      <rgbColor rgb="FF993300"/>
      <rgbColor rgb="FF993366"/>
      <rgbColor rgb="FF2F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Retail vs Wholesale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Dashboard!B23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Dashboard!$A$24:$A$25</c:f>
              <c:strCache>
                <c:ptCount val="2"/>
                <c:pt idx="0">
                  <c:v>Retail Profit</c:v>
                </c:pt>
                <c:pt idx="1">
                  <c:v>Wholesale Profit</c:v>
                </c:pt>
              </c:strCache>
            </c:strRef>
          </c:cat>
          <c:val>
            <c:numRef>
              <c:f>Dashboard!$B$24:$B$25</c:f>
              <c:numCache>
                <c:formatCode>#,##0.00</c:formatCode>
                <c:ptCount val="2"/>
                <c:pt idx="0">
                  <c:v>7.65625</c:v>
                </c:pt>
                <c:pt idx="1">
                  <c:v>3.9375</c:v>
                </c:pt>
              </c:numCache>
            </c:numRef>
          </c:val>
        </c:ser>
        <c:gapWidth val="150"/>
        <c:overlap val="0"/>
        <c:axId val="49015410"/>
        <c:axId val="99873225"/>
      </c:barChart>
      <c:catAx>
        <c:axId val="490154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873225"/>
        <c:crosses val="autoZero"/>
        <c:auto val="1"/>
        <c:lblAlgn val="ctr"/>
        <c:lblOffset val="100"/>
        <c:noMultiLvlLbl val="0"/>
      </c:catAx>
      <c:valAx>
        <c:axId val="998732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0154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Expense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Dashboard!B28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Dashboard!$A$29:$A$36</c:f>
              <c:strCache>
                <c:ptCount val="8"/>
                <c:pt idx="0">
                  <c:v>Freight</c:v>
                </c:pt>
                <c:pt idx="1">
                  <c:v>Delivery</c:v>
                </c:pt>
                <c:pt idx="2">
                  <c:v>Packaging</c:v>
                </c:pt>
                <c:pt idx="3">
                  <c:v>Storage</c:v>
                </c:pt>
                <c:pt idx="4">
                  <c:v>Labor</c:v>
                </c:pt>
                <c:pt idx="5">
                  <c:v>Fuel</c:v>
                </c:pt>
                <c:pt idx="6">
                  <c:v>Customs</c:v>
                </c:pt>
                <c:pt idx="7">
                  <c:v>Miscellaneous</c:v>
                </c:pt>
              </c:strCache>
            </c:strRef>
          </c:cat>
          <c:val>
            <c:numRef>
              <c:f>Dashboard!$B$29:$B$36</c:f>
              <c:numCache>
                <c:formatCode>#,##0.00</c:formatCode>
                <c:ptCount val="8"/>
                <c:pt idx="0">
                  <c:v>1200</c:v>
                </c:pt>
                <c:pt idx="1">
                  <c:v>300</c:v>
                </c:pt>
                <c:pt idx="2">
                  <c:v>150</c:v>
                </c:pt>
                <c:pt idx="3">
                  <c:v>100</c:v>
                </c:pt>
                <c:pt idx="4">
                  <c:v>200</c:v>
                </c:pt>
                <c:pt idx="5">
                  <c:v>250</c:v>
                </c:pt>
                <c:pt idx="6">
                  <c:v>0</c:v>
                </c:pt>
                <c:pt idx="7">
                  <c:v>50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8</xdr:row>
      <xdr:rowOff>0</xdr:rowOff>
    </xdr:from>
    <xdr:to>
      <xdr:col>5</xdr:col>
      <xdr:colOff>754920</xdr:colOff>
      <xdr:row>21</xdr:row>
      <xdr:rowOff>5040</xdr:rowOff>
    </xdr:to>
    <xdr:graphicFrame>
      <xdr:nvGraphicFramePr>
        <xdr:cNvPr id="0" name="Chart 1"/>
        <xdr:cNvGraphicFramePr/>
      </xdr:nvGraphicFramePr>
      <xdr:xfrm>
        <a:off x="4444920" y="1657440"/>
        <a:ext cx="35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21</xdr:row>
      <xdr:rowOff>0</xdr:rowOff>
    </xdr:from>
    <xdr:to>
      <xdr:col>5</xdr:col>
      <xdr:colOff>754920</xdr:colOff>
      <xdr:row>33</xdr:row>
      <xdr:rowOff>157680</xdr:rowOff>
    </xdr:to>
    <xdr:graphicFrame>
      <xdr:nvGraphicFramePr>
        <xdr:cNvPr id="1" name="Chart 2"/>
        <xdr:cNvGraphicFramePr/>
      </xdr:nvGraphicFramePr>
      <xdr:xfrm>
        <a:off x="4444920" y="4172040"/>
        <a:ext cx="35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Products" displayName="tblProducts" ref="A3:AC23" headerRowCount="1" totalsRowCount="0" totalsRowShown="0">
  <autoFilter ref="A3:AC23"/>
  <tableColumns count="29">
    <tableColumn id="1" name="Product Name"/>
    <tableColumn id="2" name="Brand"/>
    <tableColumn id="3" name="Category"/>
    <tableColumn id="4" name="SKU"/>
    <tableColumn id="5" name="Packaging Size"/>
    <tableColumn id="6" name="Unit of Measure"/>
    <tableColumn id="7" name="Units per Case"/>
    <tableColumn id="8" name="Supplier Name"/>
    <tableColumn id="9" name="Purchase Cost"/>
    <tableColumn id="10" name="Quantity Purchased"/>
    <tableColumn id="11" name="Expense 1 Name"/>
    <tableColumn id="12" name="Expense 1 Amount"/>
    <tableColumn id="13" name="Expense 2 Name"/>
    <tableColumn id="14" name="Expense 2 Amount"/>
    <tableColumn id="15" name="Expense 3 Name"/>
    <tableColumn id="16" name="Expense 3 Amount"/>
    <tableColumn id="17" name="Expense 4 Name"/>
    <tableColumn id="18" name="Expense 4 Amount"/>
    <tableColumn id="19" name="Expense 5 Name"/>
    <tableColumn id="20" name="Expense 5 Amount"/>
    <tableColumn id="21" name="Expense 6 Name"/>
    <tableColumn id="22" name="Expense 6 Amount"/>
    <tableColumn id="23" name="Expense 7 Name"/>
    <tableColumn id="24" name="Expense 7 Amount"/>
    <tableColumn id="25" name="Expense 8 Name"/>
    <tableColumn id="26" name="Expense 8 Amount"/>
    <tableColumn id="27" name="Total Expenses"/>
    <tableColumn id="28" name="Total Landed Cost"/>
    <tableColumn id="29" name="Cost per Uni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25.5" hidden="false" customHeight="true" outlineLevel="0" collapsed="false">
      <c r="A1" s="1" t="s">
        <v>0</v>
      </c>
      <c r="B1" s="1"/>
    </row>
    <row r="2" customFormat="false" ht="15" hidden="false" customHeight="true" outlineLevel="0" collapsed="false">
      <c r="A2" s="2" t="s">
        <v>1</v>
      </c>
      <c r="B2" s="2"/>
    </row>
    <row r="4" customFormat="false" ht="18" hidden="false" customHeight="true" outlineLevel="0" collapsed="false">
      <c r="A4" s="3" t="s">
        <v>2</v>
      </c>
      <c r="B4" s="3"/>
    </row>
    <row r="5" customFormat="false" ht="30" hidden="false" customHeight="true" outlineLevel="0" collapsed="false">
      <c r="A5" s="4" t="s">
        <v>3</v>
      </c>
      <c r="B5" s="5" t="s">
        <v>4</v>
      </c>
    </row>
    <row r="6" customFormat="false" ht="30" hidden="false" customHeight="true" outlineLevel="0" collapsed="false">
      <c r="A6" s="6" t="s">
        <v>5</v>
      </c>
      <c r="B6" s="5" t="s">
        <v>6</v>
      </c>
    </row>
    <row r="7" customFormat="false" ht="30" hidden="false" customHeight="true" outlineLevel="0" collapsed="false">
      <c r="A7" s="7" t="s">
        <v>7</v>
      </c>
      <c r="B7" s="5" t="s">
        <v>8</v>
      </c>
    </row>
    <row r="9" customFormat="false" ht="18" hidden="false" customHeight="true" outlineLevel="0" collapsed="false">
      <c r="A9" s="3" t="s">
        <v>9</v>
      </c>
      <c r="B9" s="3"/>
    </row>
    <row r="10" customFormat="false" ht="31.5" hidden="false" customHeight="true" outlineLevel="0" collapsed="false">
      <c r="A10" s="8" t="s">
        <v>10</v>
      </c>
      <c r="B10" s="5" t="s">
        <v>11</v>
      </c>
    </row>
    <row r="11" customFormat="false" ht="31.5" hidden="false" customHeight="true" outlineLevel="0" collapsed="false">
      <c r="A11" s="8" t="s">
        <v>12</v>
      </c>
      <c r="B11" s="5" t="s">
        <v>13</v>
      </c>
    </row>
    <row r="12" customFormat="false" ht="31.5" hidden="false" customHeight="true" outlineLevel="0" collapsed="false">
      <c r="A12" s="8" t="s">
        <v>14</v>
      </c>
      <c r="B12" s="5" t="s">
        <v>15</v>
      </c>
    </row>
    <row r="13" customFormat="false" ht="31.5" hidden="false" customHeight="true" outlineLevel="0" collapsed="false">
      <c r="A13" s="8" t="s">
        <v>16</v>
      </c>
      <c r="B13" s="5" t="s">
        <v>17</v>
      </c>
    </row>
    <row r="14" customFormat="false" ht="31.5" hidden="false" customHeight="true" outlineLevel="0" collapsed="false">
      <c r="A14" s="8" t="s">
        <v>18</v>
      </c>
      <c r="B14" s="5" t="s">
        <v>19</v>
      </c>
    </row>
    <row r="15" customFormat="false" ht="31.5" hidden="false" customHeight="true" outlineLevel="0" collapsed="false">
      <c r="A15" s="8" t="s">
        <v>20</v>
      </c>
      <c r="B15" s="5" t="s">
        <v>21</v>
      </c>
    </row>
    <row r="16" customFormat="false" ht="31.5" hidden="false" customHeight="true" outlineLevel="0" collapsed="false">
      <c r="A16" s="8" t="s">
        <v>22</v>
      </c>
      <c r="B16" s="5" t="s">
        <v>23</v>
      </c>
    </row>
    <row r="17" customFormat="false" ht="31.5" hidden="false" customHeight="true" outlineLevel="0" collapsed="false">
      <c r="A17" s="8" t="s">
        <v>24</v>
      </c>
      <c r="B17" s="5" t="s">
        <v>25</v>
      </c>
    </row>
    <row r="18" customFormat="false" ht="31.5" hidden="false" customHeight="true" outlineLevel="0" collapsed="false">
      <c r="A18" s="8" t="s">
        <v>26</v>
      </c>
      <c r="B18" s="5" t="s">
        <v>27</v>
      </c>
    </row>
    <row r="19" customFormat="false" ht="31.5" hidden="false" customHeight="true" outlineLevel="0" collapsed="false">
      <c r="A19" s="8" t="s">
        <v>28</v>
      </c>
      <c r="B19" s="5" t="s">
        <v>29</v>
      </c>
    </row>
    <row r="20" customFormat="false" ht="31.5" hidden="false" customHeight="true" outlineLevel="0" collapsed="false">
      <c r="A20" s="8" t="s">
        <v>30</v>
      </c>
      <c r="B20" s="5" t="s">
        <v>31</v>
      </c>
    </row>
    <row r="21" customFormat="false" ht="31.5" hidden="false" customHeight="true" outlineLevel="0" collapsed="false">
      <c r="A21" s="8" t="s">
        <v>32</v>
      </c>
      <c r="B21" s="5" t="s">
        <v>33</v>
      </c>
    </row>
    <row r="22" customFormat="false" ht="31.5" hidden="false" customHeight="true" outlineLevel="0" collapsed="false">
      <c r="A22" s="8" t="s">
        <v>34</v>
      </c>
      <c r="B22" s="5" t="s">
        <v>35</v>
      </c>
    </row>
    <row r="24" customFormat="false" ht="18" hidden="false" customHeight="true" outlineLevel="0" collapsed="false">
      <c r="A24" s="3" t="s">
        <v>36</v>
      </c>
      <c r="B24" s="3"/>
    </row>
    <row r="25" customFormat="false" ht="30" hidden="false" customHeight="true" outlineLevel="0" collapsed="false">
      <c r="A25" s="9" t="s">
        <v>37</v>
      </c>
      <c r="B25" s="9"/>
    </row>
    <row r="26" customFormat="false" ht="30" hidden="false" customHeight="true" outlineLevel="0" collapsed="false">
      <c r="A26" s="9" t="s">
        <v>38</v>
      </c>
      <c r="B26" s="9"/>
    </row>
    <row r="27" customFormat="false" ht="30" hidden="false" customHeight="true" outlineLevel="0" collapsed="false">
      <c r="A27" s="9" t="s">
        <v>39</v>
      </c>
      <c r="B27" s="9"/>
    </row>
    <row r="28" customFormat="false" ht="30" hidden="false" customHeight="true" outlineLevel="0" collapsed="false">
      <c r="A28" s="9" t="s">
        <v>40</v>
      </c>
      <c r="B28" s="9"/>
    </row>
    <row r="29" customFormat="false" ht="30" hidden="false" customHeight="true" outlineLevel="0" collapsed="false">
      <c r="A29" s="9" t="s">
        <v>41</v>
      </c>
      <c r="B29" s="9"/>
    </row>
    <row r="30" customFormat="false" ht="30" hidden="false" customHeight="true" outlineLevel="0" collapsed="false">
      <c r="A30" s="9" t="s">
        <v>42</v>
      </c>
      <c r="B30" s="9"/>
    </row>
    <row r="32" customFormat="false" ht="18" hidden="false" customHeight="true" outlineLevel="0" collapsed="false">
      <c r="A32" s="3" t="s">
        <v>43</v>
      </c>
      <c r="B32" s="3"/>
    </row>
    <row r="33" customFormat="false" ht="45" hidden="false" customHeight="true" outlineLevel="0" collapsed="false">
      <c r="A33" s="10" t="s">
        <v>44</v>
      </c>
      <c r="B33" s="10"/>
    </row>
  </sheetData>
  <mergeCells count="13">
    <mergeCell ref="A1:B1"/>
    <mergeCell ref="A2:B2"/>
    <mergeCell ref="A4:B4"/>
    <mergeCell ref="A9:B9"/>
    <mergeCell ref="A24:B24"/>
    <mergeCell ref="A25:B25"/>
    <mergeCell ref="A26:B26"/>
    <mergeCell ref="A27:B27"/>
    <mergeCell ref="A28:B28"/>
    <mergeCell ref="A29:B29"/>
    <mergeCell ref="A30:B30"/>
    <mergeCell ref="A32:B32"/>
    <mergeCell ref="A33:B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46"/>
  </cols>
  <sheetData>
    <row r="1" customFormat="false" ht="25.5" hidden="false" customHeight="true" outlineLevel="0" collapsed="false">
      <c r="A1" s="1" t="s">
        <v>45</v>
      </c>
      <c r="B1" s="1"/>
      <c r="C1" s="1"/>
      <c r="D1" s="1"/>
      <c r="E1" s="1"/>
    </row>
    <row r="2" customFormat="false" ht="15" hidden="false" customHeight="true" outlineLevel="0" collapsed="false">
      <c r="A2" s="2" t="s">
        <v>46</v>
      </c>
      <c r="B2" s="2"/>
      <c r="C2" s="2"/>
      <c r="D2" s="2"/>
      <c r="E2" s="2"/>
    </row>
    <row r="4" customFormat="false" ht="18" hidden="false" customHeight="true" outlineLevel="0" collapsed="false">
      <c r="A4" s="3" t="s">
        <v>47</v>
      </c>
      <c r="B4" s="3"/>
      <c r="C4" s="3"/>
      <c r="D4" s="3"/>
      <c r="E4" s="3"/>
    </row>
    <row r="5" customFormat="false" ht="15" hidden="false" customHeight="false" outlineLevel="0" collapsed="false">
      <c r="A5" s="11" t="s">
        <v>48</v>
      </c>
      <c r="B5" s="12" t="s">
        <v>49</v>
      </c>
      <c r="E5" s="13" t="s">
        <v>50</v>
      </c>
    </row>
    <row r="6" customFormat="false" ht="15" hidden="false" customHeight="false" outlineLevel="0" collapsed="false">
      <c r="A6" s="11" t="s">
        <v>51</v>
      </c>
      <c r="B6" s="14" t="n">
        <v>0.12</v>
      </c>
      <c r="E6" s="13" t="s">
        <v>52</v>
      </c>
    </row>
    <row r="8" customFormat="false" ht="18" hidden="false" customHeight="true" outlineLevel="0" collapsed="false">
      <c r="A8" s="3" t="s">
        <v>53</v>
      </c>
      <c r="B8" s="3"/>
      <c r="C8" s="3"/>
      <c r="D8" s="3"/>
      <c r="E8" s="3"/>
    </row>
    <row r="9" customFormat="false" ht="15" hidden="false" customHeight="false" outlineLevel="0" collapsed="false">
      <c r="A9" s="11" t="s">
        <v>54</v>
      </c>
      <c r="B9" s="14" t="n">
        <v>0.35</v>
      </c>
    </row>
    <row r="10" customFormat="false" ht="15" hidden="false" customHeight="false" outlineLevel="0" collapsed="false">
      <c r="A10" s="11" t="s">
        <v>55</v>
      </c>
      <c r="B10" s="14" t="n">
        <v>0.25</v>
      </c>
      <c r="E10" s="13" t="s">
        <v>56</v>
      </c>
    </row>
    <row r="12" customFormat="false" ht="18" hidden="false" customHeight="true" outlineLevel="0" collapsed="false">
      <c r="A12" s="3" t="s">
        <v>57</v>
      </c>
      <c r="B12" s="3"/>
      <c r="C12" s="3"/>
      <c r="D12" s="3"/>
      <c r="E12" s="3"/>
    </row>
    <row r="13" customFormat="false" ht="15" hidden="false" customHeight="false" outlineLevel="0" collapsed="false">
      <c r="A13" s="11" t="s">
        <v>58</v>
      </c>
      <c r="B13" s="14" t="n">
        <v>0.18</v>
      </c>
    </row>
    <row r="14" customFormat="false" ht="15" hidden="false" customHeight="false" outlineLevel="0" collapsed="false">
      <c r="A14" s="11" t="s">
        <v>59</v>
      </c>
      <c r="B14" s="14" t="n">
        <v>0.15</v>
      </c>
      <c r="E14" s="13" t="s">
        <v>60</v>
      </c>
    </row>
    <row r="16" customFormat="false" ht="18" hidden="false" customHeight="true" outlineLevel="0" collapsed="false">
      <c r="A16" s="3" t="s">
        <v>61</v>
      </c>
      <c r="B16" s="3"/>
      <c r="C16" s="3"/>
      <c r="D16" s="3"/>
      <c r="E16" s="3"/>
    </row>
    <row r="17" customFormat="false" ht="15" hidden="false" customHeight="false" outlineLevel="0" collapsed="false">
      <c r="A17" s="11" t="s">
        <v>62</v>
      </c>
      <c r="B17" s="12" t="s">
        <v>63</v>
      </c>
      <c r="E17" s="13" t="s">
        <v>64</v>
      </c>
    </row>
    <row r="19" customFormat="false" ht="18" hidden="false" customHeight="true" outlineLevel="0" collapsed="false">
      <c r="A19" s="3" t="s">
        <v>65</v>
      </c>
      <c r="B19" s="3"/>
      <c r="C19" s="3"/>
      <c r="D19" s="3"/>
      <c r="E19" s="3"/>
    </row>
    <row r="20" customFormat="false" ht="15" hidden="false" customHeight="false" outlineLevel="0" collapsed="false">
      <c r="A20" s="15" t="s">
        <v>66</v>
      </c>
      <c r="B20" s="15" t="s">
        <v>67</v>
      </c>
      <c r="C20" s="15" t="s">
        <v>68</v>
      </c>
      <c r="D20" s="15" t="s">
        <v>69</v>
      </c>
    </row>
    <row r="21" customFormat="false" ht="15" hidden="false" customHeight="false" outlineLevel="0" collapsed="false">
      <c r="A21" s="16" t="s">
        <v>70</v>
      </c>
      <c r="B21" s="17" t="n">
        <v>1</v>
      </c>
      <c r="C21" s="17" t="n">
        <v>9</v>
      </c>
      <c r="D21" s="14" t="n">
        <v>0</v>
      </c>
    </row>
    <row r="22" customFormat="false" ht="15" hidden="false" customHeight="false" outlineLevel="0" collapsed="false">
      <c r="A22" s="16" t="s">
        <v>71</v>
      </c>
      <c r="B22" s="17" t="n">
        <v>10</v>
      </c>
      <c r="C22" s="17" t="n">
        <v>24</v>
      </c>
      <c r="D22" s="14" t="n">
        <v>0.03</v>
      </c>
    </row>
    <row r="23" customFormat="false" ht="15" hidden="false" customHeight="false" outlineLevel="0" collapsed="false">
      <c r="A23" s="16" t="s">
        <v>72</v>
      </c>
      <c r="B23" s="17" t="n">
        <v>25</v>
      </c>
      <c r="C23" s="17" t="n">
        <v>49</v>
      </c>
      <c r="D23" s="14" t="n">
        <v>0.05</v>
      </c>
    </row>
    <row r="24" customFormat="false" ht="15" hidden="false" customHeight="false" outlineLevel="0" collapsed="false">
      <c r="A24" s="16" t="s">
        <v>73</v>
      </c>
      <c r="B24" s="17" t="n">
        <v>50</v>
      </c>
      <c r="C24" s="17" t="n">
        <v>99</v>
      </c>
      <c r="D24" s="14" t="n">
        <v>0.08</v>
      </c>
    </row>
    <row r="25" customFormat="false" ht="15" hidden="false" customHeight="false" outlineLevel="0" collapsed="false">
      <c r="A25" s="16" t="s">
        <v>74</v>
      </c>
      <c r="B25" s="17" t="n">
        <v>100</v>
      </c>
      <c r="C25" s="17" t="n">
        <v>100000</v>
      </c>
      <c r="D25" s="14" t="n">
        <v>0.12</v>
      </c>
    </row>
  </sheetData>
  <sheetProtection sheet="true" formatCells="false" formatColumns="false" formatRows="false" sort="false" autoFilter="false"/>
  <mergeCells count="7">
    <mergeCell ref="A1:E1"/>
    <mergeCell ref="A2:E2"/>
    <mergeCell ref="A4:E4"/>
    <mergeCell ref="A8:E8"/>
    <mergeCell ref="A12:E12"/>
    <mergeCell ref="A16:E16"/>
    <mergeCell ref="A19:E19"/>
  </mergeCells>
  <dataValidations count="1">
    <dataValidation allowBlank="true" errorStyle="stop" operator="between" showDropDown="false" showErrorMessage="false" showInputMessage="false" sqref="B17" type="list">
      <formula1>"Per Unit,Per Case,% of Purchase Cost"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20"/>
    <col collapsed="false" customWidth="true" hidden="false" outlineLevel="0" max="10" min="9" style="0" width="13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7" min="17" style="0" width="12"/>
    <col collapsed="false" customWidth="true" hidden="false" outlineLevel="0" max="18" min="18" style="0" width="11"/>
    <col collapsed="false" customWidth="true" hidden="false" outlineLevel="0" max="19" min="19" style="0" width="12"/>
    <col collapsed="false" customWidth="true" hidden="false" outlineLevel="0" max="20" min="20" style="0" width="11"/>
    <col collapsed="false" customWidth="true" hidden="false" outlineLevel="0" max="21" min="21" style="0" width="12"/>
    <col collapsed="false" customWidth="true" hidden="false" outlineLevel="0" max="22" min="22" style="0" width="11"/>
    <col collapsed="false" customWidth="true" hidden="false" outlineLevel="0" max="23" min="23" style="0" width="12"/>
    <col collapsed="false" customWidth="true" hidden="false" outlineLevel="0" max="24" min="24" style="0" width="11"/>
    <col collapsed="false" customWidth="true" hidden="false" outlineLevel="0" max="25" min="25" style="0" width="14"/>
    <col collapsed="false" customWidth="true" hidden="false" outlineLevel="0" max="26" min="26" style="0" width="11"/>
    <col collapsed="false" customWidth="true" hidden="false" outlineLevel="0" max="28" min="27" style="0" width="13"/>
    <col collapsed="false" customWidth="true" hidden="false" outlineLevel="0" max="29" min="29" style="0" width="12"/>
  </cols>
  <sheetData>
    <row r="1" customFormat="false" ht="25.5" hidden="false" customHeight="true" outlineLevel="0" collapsed="false">
      <c r="A1" s="1" t="s">
        <v>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customFormat="false" ht="15" hidden="false" customHeight="true" outlineLevel="0" collapsed="false">
      <c r="A2" s="2" t="s">
        <v>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customFormat="false" ht="30" hidden="false" customHeight="true" outlineLevel="0" collapsed="false">
      <c r="A3" s="15" t="s">
        <v>77</v>
      </c>
      <c r="B3" s="15" t="s">
        <v>78</v>
      </c>
      <c r="C3" s="15" t="s">
        <v>79</v>
      </c>
      <c r="D3" s="15" t="s">
        <v>80</v>
      </c>
      <c r="E3" s="15" t="s">
        <v>81</v>
      </c>
      <c r="F3" s="15" t="s">
        <v>82</v>
      </c>
      <c r="G3" s="15" t="s">
        <v>83</v>
      </c>
      <c r="H3" s="15" t="s">
        <v>84</v>
      </c>
      <c r="I3" s="15" t="s">
        <v>85</v>
      </c>
      <c r="J3" s="15" t="s">
        <v>86</v>
      </c>
      <c r="K3" s="15" t="s">
        <v>87</v>
      </c>
      <c r="L3" s="15" t="s">
        <v>88</v>
      </c>
      <c r="M3" s="15" t="s">
        <v>89</v>
      </c>
      <c r="N3" s="15" t="s">
        <v>90</v>
      </c>
      <c r="O3" s="15" t="s">
        <v>91</v>
      </c>
      <c r="P3" s="15" t="s">
        <v>92</v>
      </c>
      <c r="Q3" s="15" t="s">
        <v>93</v>
      </c>
      <c r="R3" s="15" t="s">
        <v>94</v>
      </c>
      <c r="S3" s="15" t="s">
        <v>95</v>
      </c>
      <c r="T3" s="15" t="s">
        <v>96</v>
      </c>
      <c r="U3" s="15" t="s">
        <v>97</v>
      </c>
      <c r="V3" s="15" t="s">
        <v>98</v>
      </c>
      <c r="W3" s="15" t="s">
        <v>99</v>
      </c>
      <c r="X3" s="15" t="s">
        <v>100</v>
      </c>
      <c r="Y3" s="15" t="s">
        <v>101</v>
      </c>
      <c r="Z3" s="15" t="s">
        <v>102</v>
      </c>
      <c r="AA3" s="15" t="s">
        <v>103</v>
      </c>
      <c r="AB3" s="15" t="s">
        <v>104</v>
      </c>
      <c r="AC3" s="15" t="s">
        <v>105</v>
      </c>
    </row>
    <row r="4" customFormat="false" ht="15" hidden="false" customHeight="false" outlineLevel="0" collapsed="false">
      <c r="A4" s="12" t="s">
        <v>106</v>
      </c>
      <c r="B4" s="12" t="s">
        <v>107</v>
      </c>
      <c r="C4" s="12" t="s">
        <v>108</v>
      </c>
      <c r="D4" s="12" t="s">
        <v>109</v>
      </c>
      <c r="E4" s="12" t="s">
        <v>110</v>
      </c>
      <c r="F4" s="12" t="s">
        <v>111</v>
      </c>
      <c r="G4" s="18" t="n">
        <v>12</v>
      </c>
      <c r="H4" s="12" t="s">
        <v>112</v>
      </c>
      <c r="I4" s="19" t="n">
        <v>24000</v>
      </c>
      <c r="J4" s="18" t="n">
        <v>1200</v>
      </c>
      <c r="K4" s="12" t="s">
        <v>113</v>
      </c>
      <c r="L4" s="19" t="n">
        <v>1200</v>
      </c>
      <c r="M4" s="12" t="s">
        <v>114</v>
      </c>
      <c r="N4" s="19" t="n">
        <v>300</v>
      </c>
      <c r="O4" s="12" t="s">
        <v>115</v>
      </c>
      <c r="P4" s="19" t="n">
        <v>150</v>
      </c>
      <c r="Q4" s="12" t="s">
        <v>116</v>
      </c>
      <c r="R4" s="19" t="n">
        <v>100</v>
      </c>
      <c r="S4" s="12" t="s">
        <v>117</v>
      </c>
      <c r="T4" s="19" t="n">
        <v>200</v>
      </c>
      <c r="U4" s="12" t="s">
        <v>118</v>
      </c>
      <c r="V4" s="19" t="n">
        <v>250</v>
      </c>
      <c r="W4" s="12" t="s">
        <v>119</v>
      </c>
      <c r="X4" s="19" t="n">
        <v>0</v>
      </c>
      <c r="Y4" s="12" t="s">
        <v>120</v>
      </c>
      <c r="Z4" s="19" t="n">
        <v>50</v>
      </c>
      <c r="AA4" s="20" t="n">
        <f aca="false">IF($A4="","",L4+N4+P4+R4+T4+V4+X4+Z4)</f>
        <v>2250</v>
      </c>
      <c r="AB4" s="20" t="n">
        <f aca="false">IF($A4="","",I4+AA4)</f>
        <v>26250</v>
      </c>
      <c r="AC4" s="21" t="n">
        <f aca="false">IF($A4="","",IFERROR(AB4/J4,0))</f>
        <v>21.875</v>
      </c>
    </row>
    <row r="5" customFormat="false" ht="15" hidden="false" customHeight="false" outlineLevel="0" collapsed="false">
      <c r="A5" s="12" t="s">
        <v>121</v>
      </c>
      <c r="B5" s="12" t="s">
        <v>107</v>
      </c>
      <c r="C5" s="12" t="s">
        <v>108</v>
      </c>
      <c r="D5" s="12" t="s">
        <v>122</v>
      </c>
      <c r="E5" s="12" t="s">
        <v>123</v>
      </c>
      <c r="F5" s="12" t="s">
        <v>111</v>
      </c>
      <c r="G5" s="18" t="n">
        <v>4</v>
      </c>
      <c r="H5" s="12" t="s">
        <v>124</v>
      </c>
      <c r="I5" s="19" t="n">
        <v>18000</v>
      </c>
      <c r="J5" s="18" t="n">
        <v>450</v>
      </c>
      <c r="K5" s="12" t="s">
        <v>113</v>
      </c>
      <c r="L5" s="19" t="n">
        <v>900</v>
      </c>
      <c r="M5" s="12" t="s">
        <v>114</v>
      </c>
      <c r="N5" s="19" t="n">
        <v>250</v>
      </c>
      <c r="O5" s="12" t="s">
        <v>115</v>
      </c>
      <c r="P5" s="19" t="n">
        <v>100</v>
      </c>
      <c r="Q5" s="12" t="s">
        <v>116</v>
      </c>
      <c r="R5" s="19" t="n">
        <v>80</v>
      </c>
      <c r="S5" s="12" t="s">
        <v>117</v>
      </c>
      <c r="T5" s="19" t="n">
        <v>150</v>
      </c>
      <c r="U5" s="12" t="s">
        <v>118</v>
      </c>
      <c r="V5" s="19" t="n">
        <v>180</v>
      </c>
      <c r="W5" s="12" t="s">
        <v>119</v>
      </c>
      <c r="X5" s="19" t="n">
        <v>0</v>
      </c>
      <c r="Y5" s="12" t="s">
        <v>120</v>
      </c>
      <c r="Z5" s="19" t="n">
        <v>40</v>
      </c>
      <c r="AA5" s="20" t="n">
        <f aca="false">IF($A5="","",L5+N5+P5+R5+T5+V5+X5+Z5)</f>
        <v>1700</v>
      </c>
      <c r="AB5" s="20" t="n">
        <f aca="false">IF($A5="","",I5+AA5)</f>
        <v>19700</v>
      </c>
      <c r="AC5" s="21" t="n">
        <f aca="false">IF($A5="","",IFERROR(AB5/J5,0))</f>
        <v>43.7777777777778</v>
      </c>
    </row>
    <row r="6" customFormat="false" ht="15" hidden="false" customHeight="false" outlineLevel="0" collapsed="false">
      <c r="A6" s="12" t="s">
        <v>125</v>
      </c>
      <c r="B6" s="12" t="s">
        <v>126</v>
      </c>
      <c r="C6" s="12" t="s">
        <v>127</v>
      </c>
      <c r="D6" s="12" t="s">
        <v>128</v>
      </c>
      <c r="E6" s="12" t="s">
        <v>129</v>
      </c>
      <c r="F6" s="12" t="s">
        <v>130</v>
      </c>
      <c r="G6" s="18" t="n">
        <v>1</v>
      </c>
      <c r="H6" s="12" t="s">
        <v>131</v>
      </c>
      <c r="I6" s="19" t="n">
        <v>32000</v>
      </c>
      <c r="J6" s="18" t="n">
        <v>160</v>
      </c>
      <c r="K6" s="12" t="s">
        <v>113</v>
      </c>
      <c r="L6" s="19" t="n">
        <v>1500</v>
      </c>
      <c r="M6" s="12" t="s">
        <v>114</v>
      </c>
      <c r="N6" s="19" t="n">
        <v>400</v>
      </c>
      <c r="O6" s="12" t="s">
        <v>115</v>
      </c>
      <c r="P6" s="19" t="n">
        <v>200</v>
      </c>
      <c r="Q6" s="12" t="s">
        <v>116</v>
      </c>
      <c r="R6" s="19" t="n">
        <v>150</v>
      </c>
      <c r="S6" s="12" t="s">
        <v>117</v>
      </c>
      <c r="T6" s="19" t="n">
        <v>300</v>
      </c>
      <c r="U6" s="12" t="s">
        <v>118</v>
      </c>
      <c r="V6" s="19" t="n">
        <v>220</v>
      </c>
      <c r="W6" s="12" t="s">
        <v>119</v>
      </c>
      <c r="X6" s="19" t="n">
        <v>500</v>
      </c>
      <c r="Y6" s="12" t="s">
        <v>120</v>
      </c>
      <c r="Z6" s="19" t="n">
        <v>60</v>
      </c>
      <c r="AA6" s="20" t="n">
        <f aca="false">IF($A6="","",L6+N6+P6+R6+T6+V6+X6+Z6)</f>
        <v>3330</v>
      </c>
      <c r="AB6" s="20" t="n">
        <f aca="false">IF($A6="","",I6+AA6)</f>
        <v>35330</v>
      </c>
      <c r="AC6" s="21" t="n">
        <f aca="false">IF($A6="","",IFERROR(AB6/J6,0))</f>
        <v>220.8125</v>
      </c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8"/>
      <c r="H7" s="12"/>
      <c r="I7" s="19"/>
      <c r="J7" s="18"/>
      <c r="K7" s="12" t="s">
        <v>113</v>
      </c>
      <c r="L7" s="19"/>
      <c r="M7" s="12" t="s">
        <v>114</v>
      </c>
      <c r="N7" s="19"/>
      <c r="O7" s="12" t="s">
        <v>115</v>
      </c>
      <c r="P7" s="19"/>
      <c r="Q7" s="12" t="s">
        <v>116</v>
      </c>
      <c r="R7" s="19"/>
      <c r="S7" s="12" t="s">
        <v>117</v>
      </c>
      <c r="T7" s="19"/>
      <c r="U7" s="12" t="s">
        <v>118</v>
      </c>
      <c r="V7" s="19"/>
      <c r="W7" s="12" t="s">
        <v>119</v>
      </c>
      <c r="X7" s="19"/>
      <c r="Y7" s="12" t="s">
        <v>120</v>
      </c>
      <c r="Z7" s="19"/>
      <c r="AA7" s="20" t="str">
        <f aca="false">IF($A7="","",L7+N7+P7+R7+T7+V7+X7+Z7)</f>
        <v/>
      </c>
      <c r="AB7" s="20" t="str">
        <f aca="false">IF($A7="","",I7+AA7)</f>
        <v/>
      </c>
      <c r="AC7" s="21" t="str">
        <f aca="false">IF($A7="","",IFERROR(AB7/J7,0))</f>
        <v/>
      </c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8"/>
      <c r="H8" s="12"/>
      <c r="I8" s="19"/>
      <c r="J8" s="18"/>
      <c r="K8" s="12" t="s">
        <v>113</v>
      </c>
      <c r="L8" s="19"/>
      <c r="M8" s="12" t="s">
        <v>114</v>
      </c>
      <c r="N8" s="19"/>
      <c r="O8" s="12" t="s">
        <v>115</v>
      </c>
      <c r="P8" s="19"/>
      <c r="Q8" s="12" t="s">
        <v>116</v>
      </c>
      <c r="R8" s="19"/>
      <c r="S8" s="12" t="s">
        <v>117</v>
      </c>
      <c r="T8" s="19"/>
      <c r="U8" s="12" t="s">
        <v>118</v>
      </c>
      <c r="V8" s="19"/>
      <c r="W8" s="12" t="s">
        <v>119</v>
      </c>
      <c r="X8" s="19"/>
      <c r="Y8" s="12" t="s">
        <v>120</v>
      </c>
      <c r="Z8" s="19"/>
      <c r="AA8" s="20" t="str">
        <f aca="false">IF($A8="","",L8+N8+P8+R8+T8+V8+X8+Z8)</f>
        <v/>
      </c>
      <c r="AB8" s="20" t="str">
        <f aca="false">IF($A8="","",I8+AA8)</f>
        <v/>
      </c>
      <c r="AC8" s="21" t="str">
        <f aca="false">IF($A8="","",IFERROR(AB8/J8,0))</f>
        <v/>
      </c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8"/>
      <c r="H9" s="12"/>
      <c r="I9" s="19"/>
      <c r="J9" s="18"/>
      <c r="K9" s="12" t="s">
        <v>113</v>
      </c>
      <c r="L9" s="19"/>
      <c r="M9" s="12" t="s">
        <v>114</v>
      </c>
      <c r="N9" s="19"/>
      <c r="O9" s="12" t="s">
        <v>115</v>
      </c>
      <c r="P9" s="19"/>
      <c r="Q9" s="12" t="s">
        <v>116</v>
      </c>
      <c r="R9" s="19"/>
      <c r="S9" s="12" t="s">
        <v>117</v>
      </c>
      <c r="T9" s="19"/>
      <c r="U9" s="12" t="s">
        <v>118</v>
      </c>
      <c r="V9" s="19"/>
      <c r="W9" s="12" t="s">
        <v>119</v>
      </c>
      <c r="X9" s="19"/>
      <c r="Y9" s="12" t="s">
        <v>120</v>
      </c>
      <c r="Z9" s="19"/>
      <c r="AA9" s="20" t="str">
        <f aca="false">IF($A9="","",L9+N9+P9+R9+T9+V9+X9+Z9)</f>
        <v/>
      </c>
      <c r="AB9" s="20" t="str">
        <f aca="false">IF($A9="","",I9+AA9)</f>
        <v/>
      </c>
      <c r="AC9" s="21" t="str">
        <f aca="false">IF($A9="","",IFERROR(AB9/J9,0))</f>
        <v/>
      </c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8"/>
      <c r="H10" s="12"/>
      <c r="I10" s="19"/>
      <c r="J10" s="18"/>
      <c r="K10" s="12" t="s">
        <v>113</v>
      </c>
      <c r="L10" s="19"/>
      <c r="M10" s="12" t="s">
        <v>114</v>
      </c>
      <c r="N10" s="19"/>
      <c r="O10" s="12" t="s">
        <v>115</v>
      </c>
      <c r="P10" s="19"/>
      <c r="Q10" s="12" t="s">
        <v>116</v>
      </c>
      <c r="R10" s="19"/>
      <c r="S10" s="12" t="s">
        <v>117</v>
      </c>
      <c r="T10" s="19"/>
      <c r="U10" s="12" t="s">
        <v>118</v>
      </c>
      <c r="V10" s="19"/>
      <c r="W10" s="12" t="s">
        <v>119</v>
      </c>
      <c r="X10" s="19"/>
      <c r="Y10" s="12" t="s">
        <v>120</v>
      </c>
      <c r="Z10" s="19"/>
      <c r="AA10" s="20" t="str">
        <f aca="false">IF($A10="","",L10+N10+P10+R10+T10+V10+X10+Z10)</f>
        <v/>
      </c>
      <c r="AB10" s="20" t="str">
        <f aca="false">IF($A10="","",I10+AA10)</f>
        <v/>
      </c>
      <c r="AC10" s="21" t="str">
        <f aca="false">IF($A10="","",IFERROR(AB10/J10,0))</f>
        <v/>
      </c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8"/>
      <c r="H11" s="12"/>
      <c r="I11" s="19"/>
      <c r="J11" s="18"/>
      <c r="K11" s="12" t="s">
        <v>113</v>
      </c>
      <c r="L11" s="19"/>
      <c r="M11" s="12" t="s">
        <v>114</v>
      </c>
      <c r="N11" s="19"/>
      <c r="O11" s="12" t="s">
        <v>115</v>
      </c>
      <c r="P11" s="19"/>
      <c r="Q11" s="12" t="s">
        <v>116</v>
      </c>
      <c r="R11" s="19"/>
      <c r="S11" s="12" t="s">
        <v>117</v>
      </c>
      <c r="T11" s="19"/>
      <c r="U11" s="12" t="s">
        <v>118</v>
      </c>
      <c r="V11" s="19"/>
      <c r="W11" s="12" t="s">
        <v>119</v>
      </c>
      <c r="X11" s="19"/>
      <c r="Y11" s="12" t="s">
        <v>120</v>
      </c>
      <c r="Z11" s="19"/>
      <c r="AA11" s="20" t="str">
        <f aca="false">IF($A11="","",L11+N11+P11+R11+T11+V11+X11+Z11)</f>
        <v/>
      </c>
      <c r="AB11" s="20" t="str">
        <f aca="false">IF($A11="","",I11+AA11)</f>
        <v/>
      </c>
      <c r="AC11" s="21" t="str">
        <f aca="false">IF($A11="","",IFERROR(AB11/J11,0))</f>
        <v/>
      </c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8"/>
      <c r="H12" s="12"/>
      <c r="I12" s="19"/>
      <c r="J12" s="18"/>
      <c r="K12" s="12" t="s">
        <v>113</v>
      </c>
      <c r="L12" s="19"/>
      <c r="M12" s="12" t="s">
        <v>114</v>
      </c>
      <c r="N12" s="19"/>
      <c r="O12" s="12" t="s">
        <v>115</v>
      </c>
      <c r="P12" s="19"/>
      <c r="Q12" s="12" t="s">
        <v>116</v>
      </c>
      <c r="R12" s="19"/>
      <c r="S12" s="12" t="s">
        <v>117</v>
      </c>
      <c r="T12" s="19"/>
      <c r="U12" s="12" t="s">
        <v>118</v>
      </c>
      <c r="V12" s="19"/>
      <c r="W12" s="12" t="s">
        <v>119</v>
      </c>
      <c r="X12" s="19"/>
      <c r="Y12" s="12" t="s">
        <v>120</v>
      </c>
      <c r="Z12" s="19"/>
      <c r="AA12" s="20" t="str">
        <f aca="false">IF($A12="","",L12+N12+P12+R12+T12+V12+X12+Z12)</f>
        <v/>
      </c>
      <c r="AB12" s="20" t="str">
        <f aca="false">IF($A12="","",I12+AA12)</f>
        <v/>
      </c>
      <c r="AC12" s="21" t="str">
        <f aca="false">IF($A12="","",IFERROR(AB12/J12,0))</f>
        <v/>
      </c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8"/>
      <c r="H13" s="12"/>
      <c r="I13" s="19"/>
      <c r="J13" s="18"/>
      <c r="K13" s="12" t="s">
        <v>113</v>
      </c>
      <c r="L13" s="19"/>
      <c r="M13" s="12" t="s">
        <v>114</v>
      </c>
      <c r="N13" s="19"/>
      <c r="O13" s="12" t="s">
        <v>115</v>
      </c>
      <c r="P13" s="19"/>
      <c r="Q13" s="12" t="s">
        <v>116</v>
      </c>
      <c r="R13" s="19"/>
      <c r="S13" s="12" t="s">
        <v>117</v>
      </c>
      <c r="T13" s="19"/>
      <c r="U13" s="12" t="s">
        <v>118</v>
      </c>
      <c r="V13" s="19"/>
      <c r="W13" s="12" t="s">
        <v>119</v>
      </c>
      <c r="X13" s="19"/>
      <c r="Y13" s="12" t="s">
        <v>120</v>
      </c>
      <c r="Z13" s="19"/>
      <c r="AA13" s="20" t="str">
        <f aca="false">IF($A13="","",L13+N13+P13+R13+T13+V13+X13+Z13)</f>
        <v/>
      </c>
      <c r="AB13" s="20" t="str">
        <f aca="false">IF($A13="","",I13+AA13)</f>
        <v/>
      </c>
      <c r="AC13" s="21" t="str">
        <f aca="false">IF($A13="","",IFERROR(AB13/J13,0))</f>
        <v/>
      </c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8"/>
      <c r="H14" s="12"/>
      <c r="I14" s="19"/>
      <c r="J14" s="18"/>
      <c r="K14" s="12" t="s">
        <v>113</v>
      </c>
      <c r="L14" s="19"/>
      <c r="M14" s="12" t="s">
        <v>114</v>
      </c>
      <c r="N14" s="19"/>
      <c r="O14" s="12" t="s">
        <v>115</v>
      </c>
      <c r="P14" s="19"/>
      <c r="Q14" s="12" t="s">
        <v>116</v>
      </c>
      <c r="R14" s="19"/>
      <c r="S14" s="12" t="s">
        <v>117</v>
      </c>
      <c r="T14" s="19"/>
      <c r="U14" s="12" t="s">
        <v>118</v>
      </c>
      <c r="V14" s="19"/>
      <c r="W14" s="12" t="s">
        <v>119</v>
      </c>
      <c r="X14" s="19"/>
      <c r="Y14" s="12" t="s">
        <v>120</v>
      </c>
      <c r="Z14" s="19"/>
      <c r="AA14" s="20" t="str">
        <f aca="false">IF($A14="","",L14+N14+P14+R14+T14+V14+X14+Z14)</f>
        <v/>
      </c>
      <c r="AB14" s="20" t="str">
        <f aca="false">IF($A14="","",I14+AA14)</f>
        <v/>
      </c>
      <c r="AC14" s="21" t="str">
        <f aca="false">IF($A14="","",IFERROR(AB14/J14,0))</f>
        <v/>
      </c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8"/>
      <c r="H15" s="12"/>
      <c r="I15" s="19"/>
      <c r="J15" s="18"/>
      <c r="K15" s="12" t="s">
        <v>113</v>
      </c>
      <c r="L15" s="19"/>
      <c r="M15" s="12" t="s">
        <v>114</v>
      </c>
      <c r="N15" s="19"/>
      <c r="O15" s="12" t="s">
        <v>115</v>
      </c>
      <c r="P15" s="19"/>
      <c r="Q15" s="12" t="s">
        <v>116</v>
      </c>
      <c r="R15" s="19"/>
      <c r="S15" s="12" t="s">
        <v>117</v>
      </c>
      <c r="T15" s="19"/>
      <c r="U15" s="12" t="s">
        <v>118</v>
      </c>
      <c r="V15" s="19"/>
      <c r="W15" s="12" t="s">
        <v>119</v>
      </c>
      <c r="X15" s="19"/>
      <c r="Y15" s="12" t="s">
        <v>120</v>
      </c>
      <c r="Z15" s="19"/>
      <c r="AA15" s="20" t="str">
        <f aca="false">IF($A15="","",L15+N15+P15+R15+T15+V15+X15+Z15)</f>
        <v/>
      </c>
      <c r="AB15" s="20" t="str">
        <f aca="false">IF($A15="","",I15+AA15)</f>
        <v/>
      </c>
      <c r="AC15" s="21" t="str">
        <f aca="false">IF($A15="","",IFERROR(AB15/J15,0))</f>
        <v/>
      </c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8"/>
      <c r="H16" s="12"/>
      <c r="I16" s="19"/>
      <c r="J16" s="18"/>
      <c r="K16" s="12" t="s">
        <v>113</v>
      </c>
      <c r="L16" s="19"/>
      <c r="M16" s="12" t="s">
        <v>114</v>
      </c>
      <c r="N16" s="19"/>
      <c r="O16" s="12" t="s">
        <v>115</v>
      </c>
      <c r="P16" s="19"/>
      <c r="Q16" s="12" t="s">
        <v>116</v>
      </c>
      <c r="R16" s="19"/>
      <c r="S16" s="12" t="s">
        <v>117</v>
      </c>
      <c r="T16" s="19"/>
      <c r="U16" s="12" t="s">
        <v>118</v>
      </c>
      <c r="V16" s="19"/>
      <c r="W16" s="12" t="s">
        <v>119</v>
      </c>
      <c r="X16" s="19"/>
      <c r="Y16" s="12" t="s">
        <v>120</v>
      </c>
      <c r="Z16" s="19"/>
      <c r="AA16" s="20" t="str">
        <f aca="false">IF($A16="","",L16+N16+P16+R16+T16+V16+X16+Z16)</f>
        <v/>
      </c>
      <c r="AB16" s="20" t="str">
        <f aca="false">IF($A16="","",I16+AA16)</f>
        <v/>
      </c>
      <c r="AC16" s="21" t="str">
        <f aca="false">IF($A16="","",IFERROR(AB16/J16,0))</f>
        <v/>
      </c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8"/>
      <c r="H17" s="12"/>
      <c r="I17" s="19"/>
      <c r="J17" s="18"/>
      <c r="K17" s="12" t="s">
        <v>113</v>
      </c>
      <c r="L17" s="19"/>
      <c r="M17" s="12" t="s">
        <v>114</v>
      </c>
      <c r="N17" s="19"/>
      <c r="O17" s="12" t="s">
        <v>115</v>
      </c>
      <c r="P17" s="19"/>
      <c r="Q17" s="12" t="s">
        <v>116</v>
      </c>
      <c r="R17" s="19"/>
      <c r="S17" s="12" t="s">
        <v>117</v>
      </c>
      <c r="T17" s="19"/>
      <c r="U17" s="12" t="s">
        <v>118</v>
      </c>
      <c r="V17" s="19"/>
      <c r="W17" s="12" t="s">
        <v>119</v>
      </c>
      <c r="X17" s="19"/>
      <c r="Y17" s="12" t="s">
        <v>120</v>
      </c>
      <c r="Z17" s="19"/>
      <c r="AA17" s="20" t="str">
        <f aca="false">IF($A17="","",L17+N17+P17+R17+T17+V17+X17+Z17)</f>
        <v/>
      </c>
      <c r="AB17" s="20" t="str">
        <f aca="false">IF($A17="","",I17+AA17)</f>
        <v/>
      </c>
      <c r="AC17" s="21" t="str">
        <f aca="false">IF($A17="","",IFERROR(AB17/J17,0))</f>
        <v/>
      </c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8"/>
      <c r="H18" s="12"/>
      <c r="I18" s="19"/>
      <c r="J18" s="18"/>
      <c r="K18" s="12" t="s">
        <v>113</v>
      </c>
      <c r="L18" s="19"/>
      <c r="M18" s="12" t="s">
        <v>114</v>
      </c>
      <c r="N18" s="19"/>
      <c r="O18" s="12" t="s">
        <v>115</v>
      </c>
      <c r="P18" s="19"/>
      <c r="Q18" s="12" t="s">
        <v>116</v>
      </c>
      <c r="R18" s="19"/>
      <c r="S18" s="12" t="s">
        <v>117</v>
      </c>
      <c r="T18" s="19"/>
      <c r="U18" s="12" t="s">
        <v>118</v>
      </c>
      <c r="V18" s="19"/>
      <c r="W18" s="12" t="s">
        <v>119</v>
      </c>
      <c r="X18" s="19"/>
      <c r="Y18" s="12" t="s">
        <v>120</v>
      </c>
      <c r="Z18" s="19"/>
      <c r="AA18" s="20" t="str">
        <f aca="false">IF($A18="","",L18+N18+P18+R18+T18+V18+X18+Z18)</f>
        <v/>
      </c>
      <c r="AB18" s="20" t="str">
        <f aca="false">IF($A18="","",I18+AA18)</f>
        <v/>
      </c>
      <c r="AC18" s="21" t="str">
        <f aca="false">IF($A18="","",IFERROR(AB18/J18,0))</f>
        <v/>
      </c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8"/>
      <c r="H19" s="12"/>
      <c r="I19" s="19"/>
      <c r="J19" s="18"/>
      <c r="K19" s="12" t="s">
        <v>113</v>
      </c>
      <c r="L19" s="19"/>
      <c r="M19" s="12" t="s">
        <v>114</v>
      </c>
      <c r="N19" s="19"/>
      <c r="O19" s="12" t="s">
        <v>115</v>
      </c>
      <c r="P19" s="19"/>
      <c r="Q19" s="12" t="s">
        <v>116</v>
      </c>
      <c r="R19" s="19"/>
      <c r="S19" s="12" t="s">
        <v>117</v>
      </c>
      <c r="T19" s="19"/>
      <c r="U19" s="12" t="s">
        <v>118</v>
      </c>
      <c r="V19" s="19"/>
      <c r="W19" s="12" t="s">
        <v>119</v>
      </c>
      <c r="X19" s="19"/>
      <c r="Y19" s="12" t="s">
        <v>120</v>
      </c>
      <c r="Z19" s="19"/>
      <c r="AA19" s="20" t="str">
        <f aca="false">IF($A19="","",L19+N19+P19+R19+T19+V19+X19+Z19)</f>
        <v/>
      </c>
      <c r="AB19" s="20" t="str">
        <f aca="false">IF($A19="","",I19+AA19)</f>
        <v/>
      </c>
      <c r="AC19" s="21" t="str">
        <f aca="false">IF($A19="","",IFERROR(AB19/J19,0))</f>
        <v/>
      </c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8"/>
      <c r="H20" s="12"/>
      <c r="I20" s="19"/>
      <c r="J20" s="18"/>
      <c r="K20" s="12" t="s">
        <v>113</v>
      </c>
      <c r="L20" s="19"/>
      <c r="M20" s="12" t="s">
        <v>114</v>
      </c>
      <c r="N20" s="19"/>
      <c r="O20" s="12" t="s">
        <v>115</v>
      </c>
      <c r="P20" s="19"/>
      <c r="Q20" s="12" t="s">
        <v>116</v>
      </c>
      <c r="R20" s="19"/>
      <c r="S20" s="12" t="s">
        <v>117</v>
      </c>
      <c r="T20" s="19"/>
      <c r="U20" s="12" t="s">
        <v>118</v>
      </c>
      <c r="V20" s="19"/>
      <c r="W20" s="12" t="s">
        <v>119</v>
      </c>
      <c r="X20" s="19"/>
      <c r="Y20" s="12" t="s">
        <v>120</v>
      </c>
      <c r="Z20" s="19"/>
      <c r="AA20" s="20" t="str">
        <f aca="false">IF($A20="","",L20+N20+P20+R20+T20+V20+X20+Z20)</f>
        <v/>
      </c>
      <c r="AB20" s="20" t="str">
        <f aca="false">IF($A20="","",I20+AA20)</f>
        <v/>
      </c>
      <c r="AC20" s="21" t="str">
        <f aca="false">IF($A20="","",IFERROR(AB20/J20,0))</f>
        <v/>
      </c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8"/>
      <c r="H21" s="12"/>
      <c r="I21" s="19"/>
      <c r="J21" s="18"/>
      <c r="K21" s="12" t="s">
        <v>113</v>
      </c>
      <c r="L21" s="19"/>
      <c r="M21" s="12" t="s">
        <v>114</v>
      </c>
      <c r="N21" s="19"/>
      <c r="O21" s="12" t="s">
        <v>115</v>
      </c>
      <c r="P21" s="19"/>
      <c r="Q21" s="12" t="s">
        <v>116</v>
      </c>
      <c r="R21" s="19"/>
      <c r="S21" s="12" t="s">
        <v>117</v>
      </c>
      <c r="T21" s="19"/>
      <c r="U21" s="12" t="s">
        <v>118</v>
      </c>
      <c r="V21" s="19"/>
      <c r="W21" s="12" t="s">
        <v>119</v>
      </c>
      <c r="X21" s="19"/>
      <c r="Y21" s="12" t="s">
        <v>120</v>
      </c>
      <c r="Z21" s="19"/>
      <c r="AA21" s="20" t="str">
        <f aca="false">IF($A21="","",L21+N21+P21+R21+T21+V21+X21+Z21)</f>
        <v/>
      </c>
      <c r="AB21" s="20" t="str">
        <f aca="false">IF($A21="","",I21+AA21)</f>
        <v/>
      </c>
      <c r="AC21" s="21" t="str">
        <f aca="false">IF($A21="","",IFERROR(AB21/J21,0))</f>
        <v/>
      </c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8"/>
      <c r="H22" s="12"/>
      <c r="I22" s="19"/>
      <c r="J22" s="18"/>
      <c r="K22" s="12" t="s">
        <v>113</v>
      </c>
      <c r="L22" s="19"/>
      <c r="M22" s="12" t="s">
        <v>114</v>
      </c>
      <c r="N22" s="19"/>
      <c r="O22" s="12" t="s">
        <v>115</v>
      </c>
      <c r="P22" s="19"/>
      <c r="Q22" s="12" t="s">
        <v>116</v>
      </c>
      <c r="R22" s="19"/>
      <c r="S22" s="12" t="s">
        <v>117</v>
      </c>
      <c r="T22" s="19"/>
      <c r="U22" s="12" t="s">
        <v>118</v>
      </c>
      <c r="V22" s="19"/>
      <c r="W22" s="12" t="s">
        <v>119</v>
      </c>
      <c r="X22" s="19"/>
      <c r="Y22" s="12" t="s">
        <v>120</v>
      </c>
      <c r="Z22" s="19"/>
      <c r="AA22" s="20" t="str">
        <f aca="false">IF($A22="","",L22+N22+P22+R22+T22+V22+X22+Z22)</f>
        <v/>
      </c>
      <c r="AB22" s="20" t="str">
        <f aca="false">IF($A22="","",I22+AA22)</f>
        <v/>
      </c>
      <c r="AC22" s="21" t="str">
        <f aca="false">IF($A22="","",IFERROR(AB22/J22,0))</f>
        <v/>
      </c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8"/>
      <c r="H23" s="12"/>
      <c r="I23" s="19"/>
      <c r="J23" s="18"/>
      <c r="K23" s="12" t="s">
        <v>113</v>
      </c>
      <c r="L23" s="19"/>
      <c r="M23" s="12" t="s">
        <v>114</v>
      </c>
      <c r="N23" s="19"/>
      <c r="O23" s="12" t="s">
        <v>115</v>
      </c>
      <c r="P23" s="19"/>
      <c r="Q23" s="12" t="s">
        <v>116</v>
      </c>
      <c r="R23" s="19"/>
      <c r="S23" s="12" t="s">
        <v>117</v>
      </c>
      <c r="T23" s="19"/>
      <c r="U23" s="12" t="s">
        <v>118</v>
      </c>
      <c r="V23" s="19"/>
      <c r="W23" s="12" t="s">
        <v>119</v>
      </c>
      <c r="X23" s="19"/>
      <c r="Y23" s="12" t="s">
        <v>120</v>
      </c>
      <c r="Z23" s="19"/>
      <c r="AA23" s="20" t="str">
        <f aca="false">IF($A23="","",L23+N23+P23+R23+T23+V23+X23+Z23)</f>
        <v/>
      </c>
      <c r="AB23" s="20" t="str">
        <f aca="false">IF($A23="","",I23+AA23)</f>
        <v/>
      </c>
      <c r="AC23" s="21" t="str">
        <f aca="false">IF($A23="","",IFERROR(AB23/J23,0))</f>
        <v/>
      </c>
    </row>
  </sheetData>
  <sheetProtection sheet="true" formatCells="false" formatColumns="false" formatRows="false" sort="false" autoFilter="false"/>
  <mergeCells count="2">
    <mergeCell ref="A1:AC1"/>
    <mergeCell ref="A2:A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3"/>
    <col collapsed="false" customWidth="true" hidden="false" outlineLevel="0" max="4" min="4" style="0" width="46"/>
  </cols>
  <sheetData>
    <row r="1" customFormat="false" ht="25.5" hidden="false" customHeight="true" outlineLevel="0" collapsed="false">
      <c r="A1" s="1" t="s">
        <v>132</v>
      </c>
      <c r="B1" s="1"/>
      <c r="C1" s="1"/>
      <c r="D1" s="1"/>
    </row>
    <row r="2" customFormat="false" ht="15" hidden="false" customHeight="true" outlineLevel="0" collapsed="false">
      <c r="A2" s="2" t="s">
        <v>133</v>
      </c>
      <c r="B2" s="2"/>
      <c r="C2" s="2"/>
      <c r="D2" s="2"/>
    </row>
    <row r="4" customFormat="false" ht="18" hidden="false" customHeight="true" outlineLevel="0" collapsed="false">
      <c r="A4" s="3" t="s">
        <v>134</v>
      </c>
      <c r="B4" s="3"/>
      <c r="C4" s="3"/>
      <c r="D4" s="3"/>
    </row>
    <row r="5" customFormat="false" ht="15" hidden="false" customHeight="false" outlineLevel="0" collapsed="false">
      <c r="A5" s="11" t="s">
        <v>135</v>
      </c>
      <c r="B5" s="19" t="n">
        <v>150</v>
      </c>
      <c r="D5" s="13" t="s">
        <v>136</v>
      </c>
    </row>
    <row r="6" customFormat="false" ht="15" hidden="false" customHeight="false" outlineLevel="0" collapsed="false">
      <c r="A6" s="11" t="s">
        <v>137</v>
      </c>
      <c r="B6" s="19" t="n">
        <v>25</v>
      </c>
    </row>
    <row r="7" customFormat="false" ht="15" hidden="false" customHeight="false" outlineLevel="0" collapsed="false">
      <c r="A7" s="11" t="s">
        <v>138</v>
      </c>
      <c r="B7" s="19" t="n">
        <v>50</v>
      </c>
    </row>
    <row r="8" customFormat="false" ht="15" hidden="false" customHeight="false" outlineLevel="0" collapsed="false">
      <c r="A8" s="8" t="s">
        <v>139</v>
      </c>
      <c r="B8" s="22" t="n">
        <f aca="false">B5+B6</f>
        <v>175</v>
      </c>
    </row>
    <row r="9" customFormat="false" ht="15" hidden="false" customHeight="false" outlineLevel="0" collapsed="false">
      <c r="A9" s="8" t="s">
        <v>140</v>
      </c>
      <c r="B9" s="23" t="n">
        <f aca="false">B8+B7</f>
        <v>225</v>
      </c>
    </row>
    <row r="10" customFormat="false" ht="15" hidden="false" customHeight="false" outlineLevel="0" collapsed="false">
      <c r="A10" s="11" t="s">
        <v>141</v>
      </c>
      <c r="B10" s="20" t="n">
        <f aca="false">B9-B8</f>
        <v>50</v>
      </c>
    </row>
    <row r="11" customFormat="false" ht="15" hidden="false" customHeight="false" outlineLevel="0" collapsed="false">
      <c r="A11" s="11" t="s">
        <v>142</v>
      </c>
      <c r="B11" s="24" t="n">
        <f aca="false">IFERROR(B10/B9,0)</f>
        <v>0.222222222222222</v>
      </c>
    </row>
    <row r="12" customFormat="false" ht="15" hidden="false" customHeight="false" outlineLevel="0" collapsed="false">
      <c r="A12" s="11" t="s">
        <v>143</v>
      </c>
      <c r="B12" s="24" t="n">
        <f aca="false">IFERROR(B10/B8,0)</f>
        <v>0.285714285714286</v>
      </c>
    </row>
    <row r="15" customFormat="false" ht="18" hidden="false" customHeight="true" outlineLevel="0" collapsed="false">
      <c r="A15" s="3" t="s">
        <v>144</v>
      </c>
      <c r="B15" s="3"/>
      <c r="C15" s="3"/>
      <c r="D15" s="3"/>
    </row>
    <row r="16" customFormat="false" ht="15" hidden="false" customHeight="false" outlineLevel="0" collapsed="false">
      <c r="A16" s="11" t="s">
        <v>145</v>
      </c>
      <c r="B16" s="19" t="n">
        <v>250</v>
      </c>
      <c r="D16" s="13" t="s">
        <v>146</v>
      </c>
    </row>
    <row r="17" customFormat="false" ht="15" hidden="false" customHeight="false" outlineLevel="0" collapsed="false">
      <c r="A17" s="11" t="s">
        <v>147</v>
      </c>
      <c r="B17" s="19" t="n">
        <v>25</v>
      </c>
    </row>
    <row r="18" customFormat="false" ht="15" hidden="false" customHeight="false" outlineLevel="0" collapsed="false">
      <c r="A18" s="11" t="s">
        <v>138</v>
      </c>
      <c r="B18" s="19" t="n">
        <v>50</v>
      </c>
    </row>
    <row r="19" customFormat="false" ht="15" hidden="false" customHeight="false" outlineLevel="0" collapsed="false">
      <c r="A19" s="8" t="s">
        <v>148</v>
      </c>
      <c r="B19" s="23" t="n">
        <f aca="false">B16-B17-B18</f>
        <v>175</v>
      </c>
    </row>
    <row r="20" customFormat="false" ht="15" hidden="false" customHeight="false" outlineLevel="0" collapsed="false">
      <c r="A20" s="11" t="s">
        <v>149</v>
      </c>
      <c r="B20" s="24" t="n">
        <f aca="false">IFERROR(B18/B16,0)</f>
        <v>0.2</v>
      </c>
    </row>
    <row r="21" customFormat="false" ht="15" hidden="false" customHeight="false" outlineLevel="0" collapsed="false">
      <c r="A21" s="11" t="s">
        <v>150</v>
      </c>
      <c r="B21" s="24" t="n">
        <f aca="false">IFERROR(B18/(B19+B17),0)</f>
        <v>0.25</v>
      </c>
    </row>
    <row r="24" customFormat="false" ht="18" hidden="false" customHeight="true" outlineLevel="0" collapsed="false">
      <c r="A24" s="3" t="s">
        <v>151</v>
      </c>
      <c r="B24" s="3"/>
      <c r="C24" s="3"/>
      <c r="D24" s="3"/>
    </row>
    <row r="25" customFormat="false" ht="15" hidden="false" customHeight="false" outlineLevel="0" collapsed="false">
      <c r="A25" s="11" t="s">
        <v>135</v>
      </c>
      <c r="B25" s="19" t="n">
        <v>150</v>
      </c>
      <c r="D25" s="13" t="s">
        <v>152</v>
      </c>
    </row>
    <row r="26" customFormat="false" ht="15" hidden="false" customHeight="false" outlineLevel="0" collapsed="false">
      <c r="A26" s="11" t="s">
        <v>147</v>
      </c>
      <c r="B26" s="19" t="n">
        <v>25</v>
      </c>
    </row>
    <row r="27" customFormat="false" ht="15" hidden="false" customHeight="false" outlineLevel="0" collapsed="false">
      <c r="A27" s="11" t="s">
        <v>153</v>
      </c>
      <c r="B27" s="19" t="n">
        <v>75</v>
      </c>
    </row>
    <row r="28" customFormat="false" ht="15" hidden="false" customHeight="false" outlineLevel="0" collapsed="false">
      <c r="A28" s="8" t="s">
        <v>139</v>
      </c>
      <c r="B28" s="22" t="n">
        <f aca="false">B25+B26</f>
        <v>175</v>
      </c>
    </row>
    <row r="29" customFormat="false" ht="15" hidden="false" customHeight="false" outlineLevel="0" collapsed="false">
      <c r="A29" s="8" t="s">
        <v>140</v>
      </c>
      <c r="B29" s="23" t="n">
        <f aca="false">B28+B27</f>
        <v>250</v>
      </c>
    </row>
    <row r="30" customFormat="false" ht="15" hidden="false" customHeight="false" outlineLevel="0" collapsed="false">
      <c r="A30" s="11" t="s">
        <v>142</v>
      </c>
      <c r="B30" s="24" t="n">
        <f aca="false">IFERROR(B27/B29,0)</f>
        <v>0.3</v>
      </c>
    </row>
    <row r="31" customFormat="false" ht="15" hidden="false" customHeight="false" outlineLevel="0" collapsed="false">
      <c r="A31" s="11" t="s">
        <v>143</v>
      </c>
      <c r="B31" s="24" t="n">
        <f aca="false">IFERROR(B27/B28,0)</f>
        <v>0.428571428571429</v>
      </c>
    </row>
  </sheetData>
  <sheetProtection sheet="true" formatCells="false" formatColumns="false" formatRows="false" sort="false" autoFilter="false"/>
  <mergeCells count="5">
    <mergeCell ref="A1:D1"/>
    <mergeCell ref="A2:D2"/>
    <mergeCell ref="A4:D4"/>
    <mergeCell ref="A15:D15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6"/>
  </cols>
  <sheetData>
    <row r="1" customFormat="false" ht="25.5" hidden="false" customHeight="true" outlineLevel="0" collapsed="false">
      <c r="A1" s="1" t="s">
        <v>154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155</v>
      </c>
      <c r="B2" s="2"/>
      <c r="C2" s="2"/>
      <c r="D2" s="2"/>
      <c r="E2" s="2"/>
      <c r="F2" s="2"/>
    </row>
    <row r="4" customFormat="false" ht="18" hidden="false" customHeight="true" outlineLevel="0" collapsed="false">
      <c r="A4" s="3" t="s">
        <v>156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11" t="s">
        <v>135</v>
      </c>
      <c r="B5" s="19" t="n">
        <v>150</v>
      </c>
    </row>
    <row r="6" customFormat="false" ht="15" hidden="false" customHeight="false" outlineLevel="0" collapsed="false">
      <c r="A6" s="11" t="s">
        <v>137</v>
      </c>
      <c r="B6" s="19" t="n">
        <v>25</v>
      </c>
    </row>
    <row r="7" customFormat="false" ht="15" hidden="false" customHeight="false" outlineLevel="0" collapsed="false">
      <c r="A7" s="8" t="s">
        <v>139</v>
      </c>
      <c r="B7" s="23" t="n">
        <f aca="false">B5+B6</f>
        <v>175</v>
      </c>
    </row>
    <row r="9" customFormat="false" ht="18" hidden="false" customHeight="true" outlineLevel="0" collapsed="false">
      <c r="A9" s="3" t="s">
        <v>157</v>
      </c>
      <c r="B9" s="3"/>
      <c r="C9" s="3"/>
      <c r="D9" s="3" t="s">
        <v>158</v>
      </c>
      <c r="E9" s="3"/>
      <c r="F9" s="3"/>
    </row>
    <row r="10" customFormat="false" ht="15" hidden="false" customHeight="false" outlineLevel="0" collapsed="false">
      <c r="A10" s="11" t="s">
        <v>159</v>
      </c>
      <c r="B10" s="14" t="n">
        <f aca="false">Default_Retail_Markup</f>
        <v>0.35</v>
      </c>
      <c r="D10" s="11" t="s">
        <v>160</v>
      </c>
      <c r="E10" s="18" t="n">
        <v>50</v>
      </c>
    </row>
    <row r="11" customFormat="false" ht="15" hidden="false" customHeight="false" outlineLevel="0" collapsed="false">
      <c r="A11" s="8" t="s">
        <v>161</v>
      </c>
      <c r="B11" s="23" t="n">
        <f aca="false">$B$7*(1+B10)</f>
        <v>236.25</v>
      </c>
      <c r="D11" s="11" t="s">
        <v>162</v>
      </c>
      <c r="E11" s="14" t="n">
        <f aca="false">Default_Wholesale_Markup</f>
        <v>0.18</v>
      </c>
    </row>
    <row r="12" customFormat="false" ht="15" hidden="false" customHeight="false" outlineLevel="0" collapsed="false">
      <c r="A12" s="11" t="s">
        <v>163</v>
      </c>
      <c r="B12" s="20" t="n">
        <f aca="false">B11-$B$7</f>
        <v>61.25</v>
      </c>
      <c r="D12" s="8" t="s">
        <v>164</v>
      </c>
      <c r="E12" s="23" t="n">
        <f aca="false">$B$7*(1+E11)</f>
        <v>206.5</v>
      </c>
    </row>
    <row r="13" customFormat="false" ht="15" hidden="false" customHeight="false" outlineLevel="0" collapsed="false">
      <c r="A13" s="11" t="s">
        <v>165</v>
      </c>
      <c r="B13" s="24" t="n">
        <f aca="false">IFERROR(B12/B11,0)</f>
        <v>0.259259259259259</v>
      </c>
      <c r="D13" s="11" t="s">
        <v>166</v>
      </c>
      <c r="E13" s="20" t="n">
        <f aca="false">E12-$B$7</f>
        <v>31.5</v>
      </c>
    </row>
    <row r="14" customFormat="false" ht="15" hidden="false" customHeight="false" outlineLevel="0" collapsed="false">
      <c r="A14" s="11" t="s">
        <v>167</v>
      </c>
      <c r="B14" s="24" t="n">
        <f aca="false">IFERROR(B12/$B$7,0)</f>
        <v>0.35</v>
      </c>
      <c r="D14" s="11" t="s">
        <v>168</v>
      </c>
      <c r="E14" s="24" t="n">
        <f aca="false">IFERROR(E13/E12,0)</f>
        <v>0.152542372881356</v>
      </c>
    </row>
    <row r="15" customFormat="false" ht="15" hidden="false" customHeight="false" outlineLevel="0" collapsed="false">
      <c r="D15" s="11" t="s">
        <v>169</v>
      </c>
      <c r="E15" s="24" t="n">
        <f aca="false">IFERROR(E13/$B$7,0)</f>
        <v>0.18</v>
      </c>
    </row>
    <row r="17" customFormat="false" ht="18" hidden="false" customHeight="true" outlineLevel="0" collapsed="false">
      <c r="A17" s="3" t="s">
        <v>170</v>
      </c>
      <c r="B17" s="3"/>
      <c r="C17" s="3"/>
      <c r="D17" s="3"/>
      <c r="E17" s="3"/>
      <c r="F17" s="3"/>
    </row>
    <row r="18" customFormat="false" ht="15" hidden="false" customHeight="false" outlineLevel="0" collapsed="false">
      <c r="A18" s="15" t="s">
        <v>171</v>
      </c>
      <c r="B18" s="15" t="s">
        <v>69</v>
      </c>
      <c r="C18" s="15" t="s">
        <v>172</v>
      </c>
      <c r="D18" s="15" t="s">
        <v>141</v>
      </c>
      <c r="E18" s="15" t="s">
        <v>173</v>
      </c>
    </row>
    <row r="19" customFormat="false" ht="15" hidden="false" customHeight="false" outlineLevel="0" collapsed="false">
      <c r="A19" s="16" t="str">
        <f aca="false">'Business Settings'!A21</f>
        <v>1-9 units</v>
      </c>
      <c r="B19" s="14" t="n">
        <f aca="false">'Business Settings'!D21</f>
        <v>0</v>
      </c>
      <c r="C19" s="21" t="n">
        <f aca="false">$E$12*(1-B19)</f>
        <v>206.5</v>
      </c>
      <c r="D19" s="20" t="n">
        <f aca="false">C19-$B$7</f>
        <v>31.5</v>
      </c>
      <c r="E19" s="24" t="n">
        <f aca="false">IFERROR(D19/C19,0)</f>
        <v>0.152542372881356</v>
      </c>
    </row>
    <row r="20" customFormat="false" ht="15" hidden="false" customHeight="false" outlineLevel="0" collapsed="false">
      <c r="A20" s="16" t="str">
        <f aca="false">'Business Settings'!A22</f>
        <v>10-24 units</v>
      </c>
      <c r="B20" s="14" t="n">
        <f aca="false">'Business Settings'!D22</f>
        <v>0.03</v>
      </c>
      <c r="C20" s="21" t="n">
        <f aca="false">$E$12*(1-B20)</f>
        <v>200.305</v>
      </c>
      <c r="D20" s="20" t="n">
        <f aca="false">C20-$B$7</f>
        <v>25.305</v>
      </c>
      <c r="E20" s="24" t="n">
        <f aca="false">IFERROR(D20/C20,0)</f>
        <v>0.126332343176656</v>
      </c>
    </row>
    <row r="21" customFormat="false" ht="15" hidden="false" customHeight="false" outlineLevel="0" collapsed="false">
      <c r="A21" s="16" t="str">
        <f aca="false">'Business Settings'!A23</f>
        <v>25-49 units</v>
      </c>
      <c r="B21" s="14" t="n">
        <f aca="false">'Business Settings'!D23</f>
        <v>0.05</v>
      </c>
      <c r="C21" s="21" t="n">
        <f aca="false">$E$12*(1-B21)</f>
        <v>196.175</v>
      </c>
      <c r="D21" s="20" t="n">
        <f aca="false">C21-$B$7</f>
        <v>21.175</v>
      </c>
      <c r="E21" s="24" t="n">
        <f aca="false">IFERROR(D21/C21,0)</f>
        <v>0.107939339875111</v>
      </c>
    </row>
    <row r="22" customFormat="false" ht="15" hidden="false" customHeight="false" outlineLevel="0" collapsed="false">
      <c r="A22" s="16" t="str">
        <f aca="false">'Business Settings'!A24</f>
        <v>50-99 units</v>
      </c>
      <c r="B22" s="14" t="n">
        <f aca="false">'Business Settings'!D24</f>
        <v>0.08</v>
      </c>
      <c r="C22" s="21" t="n">
        <f aca="false">$E$12*(1-B22)</f>
        <v>189.98</v>
      </c>
      <c r="D22" s="20" t="n">
        <f aca="false">C22-$B$7</f>
        <v>14.98</v>
      </c>
      <c r="E22" s="24" t="n">
        <f aca="false">IFERROR(D22/C22,0)</f>
        <v>0.0788504053058218</v>
      </c>
    </row>
    <row r="23" customFormat="false" ht="15" hidden="false" customHeight="false" outlineLevel="0" collapsed="false">
      <c r="A23" s="16" t="str">
        <f aca="false">'Business Settings'!A25</f>
        <v>100+ units</v>
      </c>
      <c r="B23" s="14" t="n">
        <f aca="false">'Business Settings'!D25</f>
        <v>0.12</v>
      </c>
      <c r="C23" s="21" t="n">
        <f aca="false">$E$12*(1-B23)</f>
        <v>181.72</v>
      </c>
      <c r="D23" s="20" t="n">
        <f aca="false">C23-$B$7</f>
        <v>6.72</v>
      </c>
      <c r="E23" s="24" t="n">
        <f aca="false">IFERROR(D23/C23,0)</f>
        <v>0.036979969183359</v>
      </c>
    </row>
  </sheetData>
  <sheetProtection sheet="true" formatCells="false" formatColumns="false" formatRows="false" sort="false" autoFilter="false"/>
  <mergeCells count="6">
    <mergeCell ref="A1:F1"/>
    <mergeCell ref="A2:F2"/>
    <mergeCell ref="A4:F4"/>
    <mergeCell ref="A9:C9"/>
    <mergeCell ref="D9:F9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7"/>
  </cols>
  <sheetData>
    <row r="1" customFormat="false" ht="25.5" hidden="false" customHeight="true" outlineLevel="0" collapsed="false">
      <c r="A1" s="1" t="s">
        <v>174</v>
      </c>
      <c r="B1" s="1"/>
      <c r="C1" s="1"/>
      <c r="D1" s="1"/>
      <c r="E1" s="1"/>
    </row>
    <row r="2" customFormat="false" ht="15" hidden="false" customHeight="true" outlineLevel="0" collapsed="false">
      <c r="A2" s="2" t="s">
        <v>175</v>
      </c>
      <c r="B2" s="2"/>
      <c r="C2" s="2"/>
      <c r="D2" s="2"/>
      <c r="E2" s="2"/>
    </row>
    <row r="4" customFormat="false" ht="18" hidden="false" customHeight="true" outlineLevel="0" collapsed="false">
      <c r="A4" s="3" t="s">
        <v>176</v>
      </c>
      <c r="B4" s="3"/>
      <c r="C4" s="3"/>
      <c r="D4" s="3"/>
      <c r="E4" s="3"/>
    </row>
    <row r="5" customFormat="false" ht="15" hidden="false" customHeight="false" outlineLevel="0" collapsed="false">
      <c r="A5" s="11" t="s">
        <v>177</v>
      </c>
      <c r="B5" s="19" t="n">
        <v>250</v>
      </c>
    </row>
    <row r="6" customFormat="false" ht="15" hidden="false" customHeight="false" outlineLevel="0" collapsed="false">
      <c r="A6" s="11" t="s">
        <v>178</v>
      </c>
      <c r="B6" s="19" t="n">
        <v>210</v>
      </c>
    </row>
    <row r="7" customFormat="false" ht="15" hidden="false" customHeight="false" outlineLevel="0" collapsed="false">
      <c r="A7" s="11" t="s">
        <v>179</v>
      </c>
      <c r="B7" s="18" t="n">
        <v>1000</v>
      </c>
    </row>
    <row r="9" customFormat="false" ht="15" hidden="false" customHeight="false" outlineLevel="0" collapsed="false">
      <c r="A9" s="15" t="s">
        <v>180</v>
      </c>
      <c r="B9" s="15" t="s">
        <v>181</v>
      </c>
      <c r="C9" s="15" t="s">
        <v>182</v>
      </c>
      <c r="D9" s="15" t="s">
        <v>183</v>
      </c>
      <c r="E9" s="15" t="s">
        <v>184</v>
      </c>
    </row>
    <row r="10" customFormat="false" ht="15" hidden="false" customHeight="false" outlineLevel="0" collapsed="false">
      <c r="A10" s="11" t="s">
        <v>84</v>
      </c>
      <c r="B10" s="12" t="s">
        <v>112</v>
      </c>
      <c r="C10" s="12" t="s">
        <v>124</v>
      </c>
      <c r="D10" s="12" t="s">
        <v>131</v>
      </c>
      <c r="E10" s="12"/>
    </row>
    <row r="11" customFormat="false" ht="15" hidden="false" customHeight="false" outlineLevel="0" collapsed="false">
      <c r="A11" s="11" t="s">
        <v>185</v>
      </c>
      <c r="B11" s="19" t="n">
        <v>24000</v>
      </c>
      <c r="C11" s="19" t="n">
        <v>23500</v>
      </c>
      <c r="D11" s="19" t="n">
        <v>24800</v>
      </c>
      <c r="E11" s="19"/>
    </row>
    <row r="12" customFormat="false" ht="15" hidden="false" customHeight="false" outlineLevel="0" collapsed="false">
      <c r="A12" s="11" t="s">
        <v>113</v>
      </c>
      <c r="B12" s="19" t="n">
        <v>1200</v>
      </c>
      <c r="C12" s="19" t="n">
        <v>1000</v>
      </c>
      <c r="D12" s="19" t="n">
        <v>1500</v>
      </c>
      <c r="E12" s="19"/>
    </row>
    <row r="13" customFormat="false" ht="15" hidden="false" customHeight="false" outlineLevel="0" collapsed="false">
      <c r="A13" s="11" t="s">
        <v>186</v>
      </c>
      <c r="B13" s="19" t="n">
        <v>400</v>
      </c>
      <c r="C13" s="19" t="n">
        <v>450</v>
      </c>
      <c r="D13" s="19" t="n">
        <v>350</v>
      </c>
      <c r="E13" s="19"/>
    </row>
    <row r="14" customFormat="false" ht="15" hidden="false" customHeight="false" outlineLevel="0" collapsed="false">
      <c r="A14" s="8" t="s">
        <v>104</v>
      </c>
      <c r="B14" s="22" t="n">
        <f aca="false">IF(B11="","",B11+B12+B13)</f>
        <v>25600</v>
      </c>
      <c r="C14" s="22" t="n">
        <f aca="false">IF(C11="","",C11+C12+C13)</f>
        <v>24950</v>
      </c>
      <c r="D14" s="22" t="n">
        <f aca="false">IF(D11="","",D11+D12+D13)</f>
        <v>26650</v>
      </c>
      <c r="E14" s="22" t="str">
        <f aca="false">IF(E11="","",E11+E12+E13)</f>
        <v/>
      </c>
    </row>
    <row r="15" customFormat="false" ht="15" hidden="false" customHeight="false" outlineLevel="0" collapsed="false">
      <c r="A15" s="8" t="s">
        <v>105</v>
      </c>
      <c r="B15" s="21" t="n">
        <f aca="false">IF(B14="","",IFERROR(B14/$B$7,0))</f>
        <v>25.6</v>
      </c>
      <c r="C15" s="21" t="n">
        <f aca="false">IF(C14="","",IFERROR(C14/$B$7,0))</f>
        <v>24.95</v>
      </c>
      <c r="D15" s="21" t="n">
        <f aca="false">IF(D14="","",IFERROR(D14/$B$7,0))</f>
        <v>26.65</v>
      </c>
      <c r="E15" s="21" t="str">
        <f aca="false">IF(E14="","",IFERROR(E14/$B$7,0))</f>
        <v/>
      </c>
    </row>
    <row r="16" customFormat="false" ht="15" hidden="false" customHeight="false" outlineLevel="0" collapsed="false">
      <c r="A16" s="11" t="s">
        <v>163</v>
      </c>
      <c r="B16" s="20" t="n">
        <f aca="false">IF(B15="","",$B$5-B15)</f>
        <v>224.4</v>
      </c>
      <c r="C16" s="20" t="n">
        <f aca="false">IF(C15="","",$B$5-C15)</f>
        <v>225.05</v>
      </c>
      <c r="D16" s="20" t="n">
        <f aca="false">IF(D15="","",$B$5-D15)</f>
        <v>223.35</v>
      </c>
      <c r="E16" s="20" t="str">
        <f aca="false">IF(E15="","",$B$5-E15)</f>
        <v/>
      </c>
    </row>
    <row r="17" customFormat="false" ht="15" hidden="false" customHeight="false" outlineLevel="0" collapsed="false">
      <c r="A17" s="11" t="s">
        <v>166</v>
      </c>
      <c r="B17" s="20" t="n">
        <f aca="false">IF(B15="","",$B$6-B15)</f>
        <v>184.4</v>
      </c>
      <c r="C17" s="20" t="n">
        <f aca="false">IF(C15="","",$B$6-C15)</f>
        <v>185.05</v>
      </c>
      <c r="D17" s="20" t="n">
        <f aca="false">IF(D15="","",$B$6-D15)</f>
        <v>183.35</v>
      </c>
      <c r="E17" s="20" t="str">
        <f aca="false">IF(E15="","",$B$6-E15)</f>
        <v/>
      </c>
    </row>
    <row r="18" customFormat="false" ht="15" hidden="false" customHeight="false" outlineLevel="0" collapsed="false">
      <c r="A18" s="11" t="s">
        <v>187</v>
      </c>
      <c r="B18" s="20" t="n">
        <f aca="false">IF(B16="","",B16+B17)</f>
        <v>408.8</v>
      </c>
      <c r="C18" s="20" t="n">
        <f aca="false">IF(C16="","",C16+C17)</f>
        <v>410.1</v>
      </c>
      <c r="D18" s="20" t="n">
        <f aca="false">IF(D16="","",D16+D17)</f>
        <v>406.7</v>
      </c>
      <c r="E18" s="20" t="str">
        <f aca="false">IF(E16="","",E16+E17)</f>
        <v/>
      </c>
    </row>
    <row r="20" customFormat="false" ht="18" hidden="false" customHeight="true" outlineLevel="0" collapsed="false">
      <c r="A20" s="3" t="s">
        <v>188</v>
      </c>
      <c r="B20" s="3"/>
      <c r="C20" s="3"/>
      <c r="D20" s="3"/>
      <c r="E20" s="3"/>
    </row>
    <row r="21" customFormat="false" ht="15" hidden="false" customHeight="false" outlineLevel="0" collapsed="false">
      <c r="A21" s="8" t="s">
        <v>189</v>
      </c>
      <c r="B21" s="25" t="str">
        <f aca="false">INDEX($B$10:$E$10,MATCH(MIN($B$15:$E$15),$B$15:$E$15,0))</f>
        <v>Atlas Distributors</v>
      </c>
      <c r="C21" s="25"/>
    </row>
    <row r="22" customFormat="false" ht="15" hidden="false" customHeight="false" outlineLevel="0" collapsed="false">
      <c r="A22" s="8" t="s">
        <v>190</v>
      </c>
      <c r="B22" s="25" t="str">
        <f aca="false">INDEX($B$10:$E$10,MATCH(MAX($B$16:$E$16),$B$16:$E$16,0))</f>
        <v>Atlas Distributors</v>
      </c>
      <c r="C22" s="25"/>
    </row>
    <row r="23" customFormat="false" ht="15" hidden="false" customHeight="false" outlineLevel="0" collapsed="false">
      <c r="A23" s="8" t="s">
        <v>191</v>
      </c>
      <c r="B23" s="25" t="str">
        <f aca="false">INDEX($B$10:$E$10,MATCH(MAX($B$17:$E$17),$B$17:$E$17,0))</f>
        <v>Atlas Distributors</v>
      </c>
      <c r="C23" s="25"/>
    </row>
    <row r="24" customFormat="false" ht="15" hidden="false" customHeight="false" outlineLevel="0" collapsed="false">
      <c r="A24" s="8" t="s">
        <v>192</v>
      </c>
      <c r="B24" s="25" t="str">
        <f aca="false">INDEX($B$10:$E$10,MATCH(MAX($B$18:$E$18),$B$18:$E$18,0))</f>
        <v>Atlas Distributors</v>
      </c>
      <c r="C24" s="25"/>
    </row>
  </sheetData>
  <sheetProtection sheet="true" formatCells="false" formatColumns="false" formatRows="false" sort="false" autoFilter="false"/>
  <mergeCells count="8">
    <mergeCell ref="A1:E1"/>
    <mergeCell ref="A2:E2"/>
    <mergeCell ref="A4:E4"/>
    <mergeCell ref="A20:E20"/>
    <mergeCell ref="B21:C21"/>
    <mergeCell ref="B22:C22"/>
    <mergeCell ref="B23:C23"/>
    <mergeCell ref="B24:C24"/>
  </mergeCells>
  <conditionalFormatting sqref="B15:E15">
    <cfRule type="expression" priority="2" aboveAverage="0" equalAverage="0" bottom="0" percent="0" rank="0" text="" dxfId="8">
      <formula>AND(B15&lt;&gt;"",B15=MIN($B$15:$E$15))</formula>
    </cfRule>
  </conditionalFormatting>
  <conditionalFormatting sqref="B16:E16">
    <cfRule type="expression" priority="3" aboveAverage="0" equalAverage="0" bottom="0" percent="0" rank="0" text="" dxfId="8">
      <formula>AND(B16&lt;&gt;"",B16=MAX($B$16:$E$16))</formula>
    </cfRule>
  </conditionalFormatting>
  <conditionalFormatting sqref="B17:E17">
    <cfRule type="expression" priority="4" aboveAverage="0" equalAverage="0" bottom="0" percent="0" rank="0" text="" dxfId="8">
      <formula>AND(B17&lt;&gt;"",B17=MAX($B$17:$E$17))</formula>
    </cfRule>
  </conditionalFormatting>
  <conditionalFormatting sqref="B18:E18">
    <cfRule type="expression" priority="5" aboveAverage="0" equalAverage="0" bottom="0" percent="0" rank="0" text="" dxfId="8">
      <formula>AND(B18&lt;&gt;"",B18=MAX($B$18:$E$18))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3"/>
    <col collapsed="false" customWidth="true" hidden="false" outlineLevel="0" max="4" min="4" style="0" width="46"/>
  </cols>
  <sheetData>
    <row r="1" customFormat="false" ht="25.5" hidden="false" customHeight="true" outlineLevel="0" collapsed="false">
      <c r="A1" s="1" t="s">
        <v>193</v>
      </c>
      <c r="B1" s="1"/>
      <c r="C1" s="1"/>
      <c r="D1" s="1"/>
    </row>
    <row r="2" customFormat="false" ht="15" hidden="false" customHeight="true" outlineLevel="0" collapsed="false">
      <c r="A2" s="2" t="s">
        <v>194</v>
      </c>
      <c r="B2" s="2"/>
      <c r="C2" s="2"/>
      <c r="D2" s="2"/>
    </row>
    <row r="4" customFormat="false" ht="18" hidden="false" customHeight="true" outlineLevel="0" collapsed="false">
      <c r="A4" s="3" t="s">
        <v>195</v>
      </c>
      <c r="B4" s="3"/>
      <c r="C4" s="3"/>
      <c r="D4" s="3"/>
    </row>
    <row r="5" customFormat="false" ht="15" hidden="false" customHeight="false" outlineLevel="0" collapsed="false">
      <c r="A5" s="11" t="s">
        <v>135</v>
      </c>
      <c r="B5" s="19" t="n">
        <v>150</v>
      </c>
    </row>
    <row r="6" customFormat="false" ht="15" hidden="false" customHeight="false" outlineLevel="0" collapsed="false">
      <c r="A6" s="11" t="s">
        <v>196</v>
      </c>
      <c r="B6" s="19" t="n">
        <v>15</v>
      </c>
    </row>
    <row r="7" customFormat="false" ht="15" hidden="false" customHeight="false" outlineLevel="0" collapsed="false">
      <c r="A7" s="11" t="s">
        <v>197</v>
      </c>
      <c r="B7" s="19" t="n">
        <v>10</v>
      </c>
    </row>
    <row r="8" customFormat="false" ht="15" hidden="false" customHeight="false" outlineLevel="0" collapsed="false">
      <c r="A8" s="8" t="s">
        <v>105</v>
      </c>
      <c r="B8" s="23" t="n">
        <f aca="false">B5+B6+B7</f>
        <v>175</v>
      </c>
    </row>
    <row r="9" customFormat="false" ht="15" hidden="false" customHeight="false" outlineLevel="0" collapsed="false">
      <c r="A9" s="11" t="s">
        <v>138</v>
      </c>
      <c r="B9" s="19" t="n">
        <v>50</v>
      </c>
    </row>
    <row r="10" customFormat="false" ht="15" hidden="false" customHeight="false" outlineLevel="0" collapsed="false">
      <c r="A10" s="11" t="s">
        <v>159</v>
      </c>
      <c r="B10" s="14" t="n">
        <f aca="false">Default_Retail_Markup</f>
        <v>0.35</v>
      </c>
    </row>
    <row r="11" customFormat="false" ht="15" hidden="false" customHeight="false" outlineLevel="0" collapsed="false">
      <c r="A11" s="11" t="s">
        <v>162</v>
      </c>
      <c r="B11" s="14" t="n">
        <f aca="false">Default_Wholesale_Markup</f>
        <v>0.18</v>
      </c>
    </row>
    <row r="13" customFormat="false" ht="18" hidden="false" customHeight="true" outlineLevel="0" collapsed="false">
      <c r="A13" s="3" t="s">
        <v>198</v>
      </c>
      <c r="B13" s="3"/>
      <c r="C13" s="3"/>
      <c r="D13" s="3"/>
    </row>
    <row r="14" customFormat="false" ht="15" hidden="false" customHeight="false" outlineLevel="0" collapsed="false">
      <c r="A14" s="8" t="s">
        <v>199</v>
      </c>
      <c r="B14" s="23" t="n">
        <f aca="false">B8+B9</f>
        <v>225</v>
      </c>
    </row>
    <row r="15" customFormat="false" ht="15" hidden="false" customHeight="false" outlineLevel="0" collapsed="false">
      <c r="A15" s="8" t="s">
        <v>200</v>
      </c>
      <c r="B15" s="23" t="n">
        <f aca="false">B8*(1+B10)</f>
        <v>236.25</v>
      </c>
    </row>
    <row r="16" customFormat="false" ht="15" hidden="false" customHeight="false" outlineLevel="0" collapsed="false">
      <c r="A16" s="8" t="s">
        <v>201</v>
      </c>
      <c r="B16" s="23" t="n">
        <f aca="false">B8*(1+B11)</f>
        <v>206.5</v>
      </c>
    </row>
    <row r="17" customFormat="false" ht="15" hidden="false" customHeight="false" outlineLevel="0" collapsed="false">
      <c r="A17" s="11" t="s">
        <v>202</v>
      </c>
      <c r="B17" s="20" t="n">
        <f aca="false">B14-B8</f>
        <v>50</v>
      </c>
    </row>
    <row r="18" customFormat="false" ht="15" hidden="false" customHeight="false" outlineLevel="0" collapsed="false">
      <c r="A18" s="11" t="s">
        <v>163</v>
      </c>
      <c r="B18" s="20" t="n">
        <f aca="false">B15-B8</f>
        <v>61.25</v>
      </c>
    </row>
    <row r="19" customFormat="false" ht="15" hidden="false" customHeight="false" outlineLevel="0" collapsed="false">
      <c r="A19" s="11" t="s">
        <v>166</v>
      </c>
      <c r="B19" s="20" t="n">
        <f aca="false">B16-B8</f>
        <v>31.5</v>
      </c>
    </row>
    <row r="20" customFormat="false" ht="15" hidden="false" customHeight="false" outlineLevel="0" collapsed="false">
      <c r="A20" s="11" t="s">
        <v>165</v>
      </c>
      <c r="B20" s="24" t="n">
        <f aca="false">IFERROR(B18/B15,0)</f>
        <v>0.259259259259259</v>
      </c>
    </row>
    <row r="21" customFormat="false" ht="15" hidden="false" customHeight="false" outlineLevel="0" collapsed="false">
      <c r="A21" s="11" t="s">
        <v>168</v>
      </c>
      <c r="B21" s="24" t="n">
        <f aca="false">IFERROR(B19/B16,0)</f>
        <v>0.152542372881356</v>
      </c>
    </row>
    <row r="22" customFormat="false" ht="15" hidden="false" customHeight="false" outlineLevel="0" collapsed="false">
      <c r="A22" s="11" t="s">
        <v>203</v>
      </c>
      <c r="B22" s="20" t="n">
        <f aca="false">B8</f>
        <v>175</v>
      </c>
    </row>
  </sheetData>
  <sheetProtection sheet="true" formatCells="false" formatColumns="false" formatRows="false" sort="false" autoFilter="false"/>
  <mergeCells count="4">
    <mergeCell ref="A1:D1"/>
    <mergeCell ref="A2:D2"/>
    <mergeCell ref="A4:D4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6" min="5" style="0" width="14"/>
  </cols>
  <sheetData>
    <row r="1" customFormat="false" ht="25.5" hidden="false" customHeight="true" outlineLevel="0" collapsed="false">
      <c r="A1" s="1" t="s">
        <v>204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205</v>
      </c>
      <c r="B2" s="2"/>
      <c r="C2" s="2"/>
      <c r="D2" s="2"/>
      <c r="E2" s="2"/>
      <c r="F2" s="2"/>
    </row>
    <row r="4" customFormat="false" ht="18" hidden="false" customHeight="true" outlineLevel="0" collapsed="false">
      <c r="A4" s="3" t="s">
        <v>206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11" t="s">
        <v>207</v>
      </c>
      <c r="B5" s="19" t="n">
        <v>150</v>
      </c>
    </row>
    <row r="6" customFormat="false" ht="15" hidden="false" customHeight="false" outlineLevel="0" collapsed="false">
      <c r="A6" s="11" t="s">
        <v>208</v>
      </c>
      <c r="B6" s="19" t="n">
        <v>25</v>
      </c>
    </row>
    <row r="7" customFormat="false" ht="15" hidden="false" customHeight="false" outlineLevel="0" collapsed="false">
      <c r="A7" s="11" t="s">
        <v>209</v>
      </c>
      <c r="B7" s="19" t="n">
        <v>250</v>
      </c>
    </row>
    <row r="8" customFormat="false" ht="15" hidden="false" customHeight="false" outlineLevel="0" collapsed="false">
      <c r="A8" s="8" t="s">
        <v>210</v>
      </c>
      <c r="B8" s="22" t="n">
        <f aca="false">B5+B6</f>
        <v>175</v>
      </c>
    </row>
    <row r="9" customFormat="false" ht="15" hidden="false" customHeight="false" outlineLevel="0" collapsed="false">
      <c r="A9" s="11" t="s">
        <v>211</v>
      </c>
      <c r="B9" s="20" t="n">
        <f aca="false">B7-B8</f>
        <v>75</v>
      </c>
    </row>
    <row r="10" customFormat="false" ht="15" hidden="false" customHeight="false" outlineLevel="0" collapsed="false">
      <c r="A10" s="11" t="s">
        <v>212</v>
      </c>
      <c r="B10" s="24" t="n">
        <f aca="false">IFERROR(B9/B7,0)</f>
        <v>0.3</v>
      </c>
    </row>
    <row r="11" customFormat="false" ht="15" hidden="false" customHeight="false" outlineLevel="0" collapsed="false">
      <c r="A11" s="11" t="s">
        <v>213</v>
      </c>
      <c r="B11" s="24" t="n">
        <f aca="false">IFERROR(B9/B8,0)</f>
        <v>0.428571428571429</v>
      </c>
    </row>
    <row r="13" customFormat="false" ht="18" hidden="false" customHeight="true" outlineLevel="0" collapsed="false">
      <c r="A13" s="3" t="s">
        <v>214</v>
      </c>
      <c r="B13" s="3"/>
      <c r="C13" s="3"/>
      <c r="D13" s="3"/>
      <c r="E13" s="3"/>
      <c r="F13" s="3"/>
    </row>
    <row r="14" customFormat="false" ht="23.85" hidden="false" customHeight="false" outlineLevel="0" collapsed="false">
      <c r="A14" s="15" t="s">
        <v>215</v>
      </c>
      <c r="B14" s="15" t="s">
        <v>216</v>
      </c>
      <c r="C14" s="15" t="s">
        <v>217</v>
      </c>
      <c r="D14" s="15" t="s">
        <v>218</v>
      </c>
      <c r="E14" s="15" t="s">
        <v>141</v>
      </c>
      <c r="F14" s="15" t="s">
        <v>219</v>
      </c>
    </row>
    <row r="15" customFormat="false" ht="15" hidden="false" customHeight="false" outlineLevel="0" collapsed="false">
      <c r="A15" s="24" t="n">
        <v>0.05</v>
      </c>
      <c r="B15" s="20" t="n">
        <f aca="false">$B$5*(1+A15)</f>
        <v>157.5</v>
      </c>
      <c r="C15" s="20" t="n">
        <f aca="false">$B$6</f>
        <v>25</v>
      </c>
      <c r="D15" s="20" t="n">
        <f aca="false">B15+C15</f>
        <v>182.5</v>
      </c>
      <c r="E15" s="21" t="n">
        <f aca="false">$B$7-D15</f>
        <v>67.5</v>
      </c>
      <c r="F15" s="24" t="n">
        <f aca="false">IFERROR(E15/$B$7,0)</f>
        <v>0.27</v>
      </c>
    </row>
    <row r="16" customFormat="false" ht="15" hidden="false" customHeight="false" outlineLevel="0" collapsed="false">
      <c r="A16" s="24" t="n">
        <v>0.1</v>
      </c>
      <c r="B16" s="20" t="n">
        <f aca="false">$B$5*(1+A16)</f>
        <v>165</v>
      </c>
      <c r="C16" s="20" t="n">
        <f aca="false">$B$6</f>
        <v>25</v>
      </c>
      <c r="D16" s="20" t="n">
        <f aca="false">B16+C16</f>
        <v>190</v>
      </c>
      <c r="E16" s="21" t="n">
        <f aca="false">$B$7-D16</f>
        <v>60</v>
      </c>
      <c r="F16" s="24" t="n">
        <f aca="false">IFERROR(E16/$B$7,0)</f>
        <v>0.24</v>
      </c>
    </row>
    <row r="17" customFormat="false" ht="15" hidden="false" customHeight="false" outlineLevel="0" collapsed="false">
      <c r="A17" s="24" t="n">
        <v>0.15</v>
      </c>
      <c r="B17" s="20" t="n">
        <f aca="false">$B$5*(1+A17)</f>
        <v>172.5</v>
      </c>
      <c r="C17" s="20" t="n">
        <f aca="false">$B$6</f>
        <v>25</v>
      </c>
      <c r="D17" s="20" t="n">
        <f aca="false">B17+C17</f>
        <v>197.5</v>
      </c>
      <c r="E17" s="21" t="n">
        <f aca="false">$B$7-D17</f>
        <v>52.5</v>
      </c>
      <c r="F17" s="24" t="n">
        <f aca="false">IFERROR(E17/$B$7,0)</f>
        <v>0.21</v>
      </c>
    </row>
    <row r="18" customFormat="false" ht="15" hidden="false" customHeight="false" outlineLevel="0" collapsed="false">
      <c r="A18" s="24" t="n">
        <v>0.2</v>
      </c>
      <c r="B18" s="20" t="n">
        <f aca="false">$B$5*(1+A18)</f>
        <v>180</v>
      </c>
      <c r="C18" s="20" t="n">
        <f aca="false">$B$6</f>
        <v>25</v>
      </c>
      <c r="D18" s="20" t="n">
        <f aca="false">B18+C18</f>
        <v>205</v>
      </c>
      <c r="E18" s="21" t="n">
        <f aca="false">$B$7-D18</f>
        <v>45</v>
      </c>
      <c r="F18" s="24" t="n">
        <f aca="false">IFERROR(E18/$B$7,0)</f>
        <v>0.18</v>
      </c>
    </row>
    <row r="20" customFormat="false" ht="18" hidden="false" customHeight="true" outlineLevel="0" collapsed="false">
      <c r="A20" s="3" t="s">
        <v>220</v>
      </c>
      <c r="B20" s="3"/>
      <c r="C20" s="3"/>
      <c r="D20" s="3"/>
      <c r="E20" s="3"/>
      <c r="F20" s="3"/>
    </row>
    <row r="21" customFormat="false" ht="23.85" hidden="false" customHeight="false" outlineLevel="0" collapsed="false">
      <c r="A21" s="15" t="s">
        <v>215</v>
      </c>
      <c r="B21" s="15" t="s">
        <v>216</v>
      </c>
      <c r="C21" s="15" t="s">
        <v>217</v>
      </c>
      <c r="D21" s="15" t="s">
        <v>218</v>
      </c>
      <c r="E21" s="15" t="s">
        <v>141</v>
      </c>
      <c r="F21" s="15" t="s">
        <v>219</v>
      </c>
    </row>
    <row r="22" customFormat="false" ht="15" hidden="false" customHeight="false" outlineLevel="0" collapsed="false">
      <c r="A22" s="24" t="n">
        <v>0.05</v>
      </c>
      <c r="B22" s="20" t="n">
        <f aca="false">$B$5</f>
        <v>150</v>
      </c>
      <c r="C22" s="20" t="n">
        <f aca="false">$B$6*(1+A22)</f>
        <v>26.25</v>
      </c>
      <c r="D22" s="20" t="n">
        <f aca="false">B22+C22</f>
        <v>176.25</v>
      </c>
      <c r="E22" s="21" t="n">
        <f aca="false">$B$7-D22</f>
        <v>73.75</v>
      </c>
      <c r="F22" s="24" t="n">
        <f aca="false">IFERROR(E22/$B$7,0)</f>
        <v>0.295</v>
      </c>
    </row>
    <row r="23" customFormat="false" ht="15" hidden="false" customHeight="false" outlineLevel="0" collapsed="false">
      <c r="A23" s="24" t="n">
        <v>0.1</v>
      </c>
      <c r="B23" s="20" t="n">
        <f aca="false">$B$5</f>
        <v>150</v>
      </c>
      <c r="C23" s="20" t="n">
        <f aca="false">$B$6*(1+A23)</f>
        <v>27.5</v>
      </c>
      <c r="D23" s="20" t="n">
        <f aca="false">B23+C23</f>
        <v>177.5</v>
      </c>
      <c r="E23" s="21" t="n">
        <f aca="false">$B$7-D23</f>
        <v>72.5</v>
      </c>
      <c r="F23" s="24" t="n">
        <f aca="false">IFERROR(E23/$B$7,0)</f>
        <v>0.29</v>
      </c>
    </row>
    <row r="24" customFormat="false" ht="15" hidden="false" customHeight="false" outlineLevel="0" collapsed="false">
      <c r="A24" s="24" t="n">
        <v>0.15</v>
      </c>
      <c r="B24" s="20" t="n">
        <f aca="false">$B$5</f>
        <v>150</v>
      </c>
      <c r="C24" s="20" t="n">
        <f aca="false">$B$6*(1+A24)</f>
        <v>28.75</v>
      </c>
      <c r="D24" s="20" t="n">
        <f aca="false">B24+C24</f>
        <v>178.75</v>
      </c>
      <c r="E24" s="21" t="n">
        <f aca="false">$B$7-D24</f>
        <v>71.25</v>
      </c>
      <c r="F24" s="24" t="n">
        <f aca="false">IFERROR(E24/$B$7,0)</f>
        <v>0.285</v>
      </c>
    </row>
    <row r="25" customFormat="false" ht="15" hidden="false" customHeight="false" outlineLevel="0" collapsed="false">
      <c r="A25" s="24" t="n">
        <v>0.2</v>
      </c>
      <c r="B25" s="20" t="n">
        <f aca="false">$B$5</f>
        <v>150</v>
      </c>
      <c r="C25" s="20" t="n">
        <f aca="false">$B$6*(1+A25)</f>
        <v>30</v>
      </c>
      <c r="D25" s="20" t="n">
        <f aca="false">B25+C25</f>
        <v>180</v>
      </c>
      <c r="E25" s="21" t="n">
        <f aca="false">$B$7-D25</f>
        <v>70</v>
      </c>
      <c r="F25" s="24" t="n">
        <f aca="false">IFERROR(E25/$B$7,0)</f>
        <v>0.28</v>
      </c>
    </row>
    <row r="27" customFormat="false" ht="18" hidden="false" customHeight="true" outlineLevel="0" collapsed="false">
      <c r="A27" s="3" t="s">
        <v>221</v>
      </c>
      <c r="B27" s="3"/>
      <c r="C27" s="3"/>
      <c r="D27" s="3"/>
      <c r="E27" s="3"/>
      <c r="F27" s="3"/>
    </row>
    <row r="28" customFormat="false" ht="23.85" hidden="false" customHeight="false" outlineLevel="0" collapsed="false">
      <c r="A28" s="15" t="s">
        <v>215</v>
      </c>
      <c r="B28" s="15" t="s">
        <v>216</v>
      </c>
      <c r="C28" s="15" t="s">
        <v>217</v>
      </c>
      <c r="D28" s="15" t="s">
        <v>218</v>
      </c>
      <c r="E28" s="15" t="s">
        <v>141</v>
      </c>
      <c r="F28" s="15" t="s">
        <v>219</v>
      </c>
    </row>
    <row r="29" customFormat="false" ht="15" hidden="false" customHeight="false" outlineLevel="0" collapsed="false">
      <c r="A29" s="24" t="n">
        <v>-0.1</v>
      </c>
      <c r="B29" s="20" t="n">
        <f aca="false">$B$5</f>
        <v>150</v>
      </c>
      <c r="C29" s="20" t="n">
        <f aca="false">$B$6</f>
        <v>25</v>
      </c>
      <c r="D29" s="20" t="n">
        <f aca="false">$B$7*(1+A29)</f>
        <v>225</v>
      </c>
      <c r="E29" s="21" t="n">
        <f aca="false">D29-$B$8</f>
        <v>50</v>
      </c>
      <c r="F29" s="24" t="n">
        <f aca="false">IFERROR(E29/D29,0)</f>
        <v>0.222222222222222</v>
      </c>
    </row>
    <row r="30" customFormat="false" ht="15" hidden="false" customHeight="false" outlineLevel="0" collapsed="false">
      <c r="A30" s="24" t="n">
        <v>-0.05</v>
      </c>
      <c r="B30" s="20" t="n">
        <f aca="false">$B$5</f>
        <v>150</v>
      </c>
      <c r="C30" s="20" t="n">
        <f aca="false">$B$6</f>
        <v>25</v>
      </c>
      <c r="D30" s="20" t="n">
        <f aca="false">$B$7*(1+A30)</f>
        <v>237.5</v>
      </c>
      <c r="E30" s="21" t="n">
        <f aca="false">D30-$B$8</f>
        <v>62.5</v>
      </c>
      <c r="F30" s="24" t="n">
        <f aca="false">IFERROR(E30/D30,0)</f>
        <v>0.263157894736842</v>
      </c>
    </row>
    <row r="31" customFormat="false" ht="15" hidden="false" customHeight="false" outlineLevel="0" collapsed="false">
      <c r="A31" s="24" t="n">
        <v>0.05</v>
      </c>
      <c r="B31" s="20" t="n">
        <f aca="false">$B$5</f>
        <v>150</v>
      </c>
      <c r="C31" s="20" t="n">
        <f aca="false">$B$6</f>
        <v>25</v>
      </c>
      <c r="D31" s="20" t="n">
        <f aca="false">$B$7*(1+A31)</f>
        <v>262.5</v>
      </c>
      <c r="E31" s="21" t="n">
        <f aca="false">D31-$B$8</f>
        <v>87.5</v>
      </c>
      <c r="F31" s="24" t="n">
        <f aca="false">IFERROR(E31/D31,0)</f>
        <v>0.333333333333333</v>
      </c>
    </row>
    <row r="32" customFormat="false" ht="15" hidden="false" customHeight="false" outlineLevel="0" collapsed="false">
      <c r="A32" s="24" t="n">
        <v>0.1</v>
      </c>
      <c r="B32" s="20" t="n">
        <f aca="false">$B$5</f>
        <v>150</v>
      </c>
      <c r="C32" s="20" t="n">
        <f aca="false">$B$6</f>
        <v>25</v>
      </c>
      <c r="D32" s="20" t="n">
        <f aca="false">$B$7*(1+A32)</f>
        <v>275</v>
      </c>
      <c r="E32" s="21" t="n">
        <f aca="false">D32-$B$8</f>
        <v>100</v>
      </c>
      <c r="F32" s="24" t="n">
        <f aca="false">IFERROR(E32/D32,0)</f>
        <v>0.363636363636364</v>
      </c>
    </row>
  </sheetData>
  <sheetProtection sheet="true" formatCells="false" formatColumns="false" formatRows="false" sort="false" autoFilter="false"/>
  <mergeCells count="6">
    <mergeCell ref="A1:F1"/>
    <mergeCell ref="A2:F2"/>
    <mergeCell ref="A4:F4"/>
    <mergeCell ref="A13:F13"/>
    <mergeCell ref="A20:F20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4"/>
    <col collapsed="false" customWidth="true" hidden="false" outlineLevel="0" max="6" min="4" style="0" width="16"/>
    <col collapsed="false" customWidth="true" hidden="false" outlineLevel="0" max="7" min="7" style="0" width="4"/>
    <col collapsed="false" customWidth="true" hidden="false" outlineLevel="0" max="8" min="8" style="0" width="30"/>
  </cols>
  <sheetData>
    <row r="1" customFormat="false" ht="25.5" hidden="false" customHeight="true" outlineLevel="0" collapsed="false">
      <c r="A1" s="1" t="s">
        <v>222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223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H3" s="13" t="s">
        <v>224</v>
      </c>
    </row>
    <row r="4" customFormat="false" ht="15" hidden="false" customHeight="false" outlineLevel="0" collapsed="false">
      <c r="A4" s="8" t="s">
        <v>225</v>
      </c>
      <c r="B4" s="12" t="s">
        <v>106</v>
      </c>
      <c r="H4" s="16" t="n">
        <f aca="false">IFERROR(MATCH($B$4,'Product Costing'!$A$4:$A$23,0),"")</f>
        <v>1</v>
      </c>
    </row>
    <row r="5" customFormat="false" ht="15" hidden="false" customHeight="false" outlineLevel="0" collapsed="false">
      <c r="A5" s="11" t="s">
        <v>78</v>
      </c>
      <c r="B5" s="16" t="str">
        <f aca="false">IF($H$4="","",INDEX('Product Costing'!$B$4:$B$23,$H$4))</f>
        <v>PetroMax</v>
      </c>
    </row>
    <row r="6" customFormat="false" ht="15" hidden="false" customHeight="false" outlineLevel="0" collapsed="false">
      <c r="A6" s="11" t="s">
        <v>79</v>
      </c>
      <c r="B6" s="16" t="str">
        <f aca="false">IF($H$4="","",INDEX('Product Costing'!$C$4:$C$23,$H$4))</f>
        <v>Motor Oil</v>
      </c>
    </row>
    <row r="7" customFormat="false" ht="15" hidden="false" customHeight="false" outlineLevel="0" collapsed="false">
      <c r="A7" s="11" t="s">
        <v>226</v>
      </c>
      <c r="B7" s="16" t="str">
        <f aca="false">IF($H$4="","",INDEX('Product Costing'!$H$4:$H$23,$H$4))</f>
        <v>Gulf Petroleum Supplier</v>
      </c>
    </row>
    <row r="9" customFormat="false" ht="18" hidden="false" customHeight="true" outlineLevel="0" collapsed="false">
      <c r="A9" s="3" t="s">
        <v>227</v>
      </c>
      <c r="B9" s="3"/>
      <c r="C9" s="3"/>
    </row>
    <row r="10" customFormat="false" ht="15" hidden="false" customHeight="false" outlineLevel="0" collapsed="false">
      <c r="A10" s="8" t="s">
        <v>104</v>
      </c>
      <c r="B10" s="23" t="n">
        <f aca="false">IF($H$4="","",INDEX('Product Costing'!$AB$4:$AB$23,$H$4))</f>
        <v>26250</v>
      </c>
    </row>
    <row r="11" customFormat="false" ht="15" hidden="false" customHeight="false" outlineLevel="0" collapsed="false">
      <c r="A11" s="8" t="s">
        <v>105</v>
      </c>
      <c r="B11" s="23" t="n">
        <f aca="false">IF($H$4="","",INDEX('Product Costing'!$AC$4:$AC$23,$H$4))</f>
        <v>21.875</v>
      </c>
    </row>
    <row r="12" customFormat="false" ht="15" hidden="false" customHeight="false" outlineLevel="0" collapsed="false">
      <c r="A12" s="8" t="s">
        <v>161</v>
      </c>
      <c r="B12" s="23" t="n">
        <f aca="false">IF($B$11="","",$B$11*(1+Default_Retail_Markup))</f>
        <v>29.53125</v>
      </c>
    </row>
    <row r="13" customFormat="false" ht="15" hidden="false" customHeight="false" outlineLevel="0" collapsed="false">
      <c r="A13" s="8" t="s">
        <v>164</v>
      </c>
      <c r="B13" s="23" t="n">
        <f aca="false">IF($B$11="","",$B$11*(1+Default_Wholesale_Markup))</f>
        <v>25.8125</v>
      </c>
    </row>
    <row r="14" customFormat="false" ht="15" hidden="false" customHeight="false" outlineLevel="0" collapsed="false">
      <c r="A14" s="8" t="s">
        <v>163</v>
      </c>
      <c r="B14" s="23" t="n">
        <f aca="false">IF($B$11="","",B12-B11)</f>
        <v>7.65625</v>
      </c>
    </row>
    <row r="15" customFormat="false" ht="15" hidden="false" customHeight="false" outlineLevel="0" collapsed="false">
      <c r="A15" s="8" t="s">
        <v>166</v>
      </c>
      <c r="B15" s="23" t="n">
        <f aca="false">IF($B$11="","",B13-B11)</f>
        <v>3.9375</v>
      </c>
    </row>
    <row r="16" customFormat="false" ht="15" hidden="false" customHeight="false" outlineLevel="0" collapsed="false">
      <c r="A16" s="8" t="s">
        <v>165</v>
      </c>
      <c r="B16" s="26" t="n">
        <f aca="false">IF($B$11="","",IFERROR(B14/B12,0))</f>
        <v>0.259259259259259</v>
      </c>
    </row>
    <row r="17" customFormat="false" ht="15" hidden="false" customHeight="false" outlineLevel="0" collapsed="false">
      <c r="A17" s="8" t="s">
        <v>168</v>
      </c>
      <c r="B17" s="26" t="n">
        <f aca="false">IF($B$11="","",IFERROR(B15/B13,0))</f>
        <v>0.152542372881356</v>
      </c>
    </row>
    <row r="18" customFormat="false" ht="15" hidden="false" customHeight="false" outlineLevel="0" collapsed="false">
      <c r="A18" s="8" t="s">
        <v>228</v>
      </c>
      <c r="B18" s="26" t="n">
        <f aca="false">IF($B$11="","",IFERROR(B14/B11,0))</f>
        <v>0.35</v>
      </c>
    </row>
    <row r="19" customFormat="false" ht="15" hidden="false" customHeight="false" outlineLevel="0" collapsed="false">
      <c r="A19" s="8" t="s">
        <v>229</v>
      </c>
      <c r="B19" s="23" t="n">
        <f aca="false">B11</f>
        <v>21.875</v>
      </c>
    </row>
    <row r="22" customFormat="false" ht="18" hidden="false" customHeight="true" outlineLevel="0" collapsed="false">
      <c r="A22" s="3" t="s">
        <v>230</v>
      </c>
      <c r="B22" s="3"/>
      <c r="C22" s="3"/>
    </row>
    <row r="23" customFormat="false" ht="15" hidden="false" customHeight="false" outlineLevel="0" collapsed="false">
      <c r="A23" s="15" t="s">
        <v>180</v>
      </c>
      <c r="B23" s="15" t="s">
        <v>141</v>
      </c>
    </row>
    <row r="24" customFormat="false" ht="15" hidden="false" customHeight="false" outlineLevel="0" collapsed="false">
      <c r="A24" s="16" t="s">
        <v>163</v>
      </c>
      <c r="B24" s="20" t="n">
        <f aca="false">B14</f>
        <v>7.65625</v>
      </c>
    </row>
    <row r="25" customFormat="false" ht="15" hidden="false" customHeight="false" outlineLevel="0" collapsed="false">
      <c r="A25" s="16" t="s">
        <v>166</v>
      </c>
      <c r="B25" s="20" t="n">
        <f aca="false">B15</f>
        <v>3.9375</v>
      </c>
    </row>
    <row r="27" customFormat="false" ht="18" hidden="false" customHeight="true" outlineLevel="0" collapsed="false">
      <c r="A27" s="3" t="s">
        <v>231</v>
      </c>
      <c r="B27" s="3"/>
      <c r="C27" s="3"/>
    </row>
    <row r="28" customFormat="false" ht="15" hidden="false" customHeight="false" outlineLevel="0" collapsed="false">
      <c r="A28" s="15" t="s">
        <v>232</v>
      </c>
      <c r="B28" s="15" t="s">
        <v>233</v>
      </c>
    </row>
    <row r="29" customFormat="false" ht="15" hidden="false" customHeight="false" outlineLevel="0" collapsed="false">
      <c r="A29" s="16" t="str">
        <f aca="false">IF($H$4="","",INDEX('Product Costing'!$K$4:$K$23,$H$4))</f>
        <v>Freight</v>
      </c>
      <c r="B29" s="20" t="n">
        <f aca="false">IF($H$4="","",INDEX('Product Costing'!$L$4:$L$23,$H$4))</f>
        <v>1200</v>
      </c>
    </row>
    <row r="30" customFormat="false" ht="15" hidden="false" customHeight="false" outlineLevel="0" collapsed="false">
      <c r="A30" s="16" t="str">
        <f aca="false">IF($H$4="","",INDEX('Product Costing'!$M$4:$M$23,$H$4))</f>
        <v>Delivery</v>
      </c>
      <c r="B30" s="20" t="n">
        <f aca="false">IF($H$4="","",INDEX('Product Costing'!$N$4:$N$23,$H$4))</f>
        <v>300</v>
      </c>
    </row>
    <row r="31" customFormat="false" ht="15" hidden="false" customHeight="false" outlineLevel="0" collapsed="false">
      <c r="A31" s="16" t="str">
        <f aca="false">IF($H$4="","",INDEX('Product Costing'!$O$4:$O$23,$H$4))</f>
        <v>Packaging</v>
      </c>
      <c r="B31" s="20" t="n">
        <f aca="false">IF($H$4="","",INDEX('Product Costing'!$P$4:$P$23,$H$4))</f>
        <v>150</v>
      </c>
    </row>
    <row r="32" customFormat="false" ht="15" hidden="false" customHeight="false" outlineLevel="0" collapsed="false">
      <c r="A32" s="16" t="str">
        <f aca="false">IF($H$4="","",INDEX('Product Costing'!$Q$4:$Q$23,$H$4))</f>
        <v>Storage</v>
      </c>
      <c r="B32" s="20" t="n">
        <f aca="false">IF($H$4="","",INDEX('Product Costing'!$R$4:$R$23,$H$4))</f>
        <v>100</v>
      </c>
    </row>
    <row r="33" customFormat="false" ht="15" hidden="false" customHeight="false" outlineLevel="0" collapsed="false">
      <c r="A33" s="16" t="str">
        <f aca="false">IF($H$4="","",INDEX('Product Costing'!$S$4:$S$23,$H$4))</f>
        <v>Labor</v>
      </c>
      <c r="B33" s="20" t="n">
        <f aca="false">IF($H$4="","",INDEX('Product Costing'!$T$4:$T$23,$H$4))</f>
        <v>200</v>
      </c>
    </row>
    <row r="34" customFormat="false" ht="15" hidden="false" customHeight="false" outlineLevel="0" collapsed="false">
      <c r="A34" s="16" t="str">
        <f aca="false">IF($H$4="","",INDEX('Product Costing'!$U$4:$U$23,$H$4))</f>
        <v>Fuel</v>
      </c>
      <c r="B34" s="20" t="n">
        <f aca="false">IF($H$4="","",INDEX('Product Costing'!$V$4:$V$23,$H$4))</f>
        <v>250</v>
      </c>
    </row>
    <row r="35" customFormat="false" ht="15" hidden="false" customHeight="false" outlineLevel="0" collapsed="false">
      <c r="A35" s="16" t="str">
        <f aca="false">IF($H$4="","",INDEX('Product Costing'!$W$4:$W$23,$H$4))</f>
        <v>Customs</v>
      </c>
      <c r="B35" s="20" t="n">
        <f aca="false">IF($H$4="","",INDEX('Product Costing'!$X$4:$X$23,$H$4))</f>
        <v>0</v>
      </c>
    </row>
    <row r="36" customFormat="false" ht="15" hidden="false" customHeight="false" outlineLevel="0" collapsed="false">
      <c r="A36" s="16" t="str">
        <f aca="false">IF($H$4="","",INDEX('Product Costing'!$Y$4:$Y$23,$H$4))</f>
        <v>Miscellaneous</v>
      </c>
      <c r="B36" s="20" t="n">
        <f aca="false">IF($H$4="","",INDEX('Product Costing'!$Z$4:$Z$23,$H$4))</f>
        <v>50</v>
      </c>
    </row>
  </sheetData>
  <sheetProtection sheet="true" formatCells="false" formatColumns="false" formatRows="false" sort="false" autoFilter="false"/>
  <mergeCells count="5">
    <mergeCell ref="A1:H1"/>
    <mergeCell ref="A2:H2"/>
    <mergeCell ref="A9:C9"/>
    <mergeCell ref="A22:C22"/>
    <mergeCell ref="A27:C27"/>
  </mergeCells>
  <conditionalFormatting sqref="B14:B15">
    <cfRule type="cellIs" priority="2" operator="lessThan" aboveAverage="0" equalAverage="0" bottom="0" percent="0" rank="0" text="" dxfId="9">
      <formula>0</formula>
    </cfRule>
  </conditionalFormatting>
  <dataValidations count="1">
    <dataValidation allowBlank="true" errorStyle="stop" operator="between" showDropDown="false" showErrorMessage="false" showInputMessage="false" sqref="B4" type="list">
      <formula1>'Product Costing'!$A$4:$A$23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3"/>
    <col collapsed="false" customWidth="true" hidden="false" outlineLevel="0" max="4" min="4" style="0" width="46"/>
  </cols>
  <sheetData>
    <row r="1" customFormat="false" ht="25.5" hidden="false" customHeight="true" outlineLevel="0" collapsed="false">
      <c r="A1" s="1" t="s">
        <v>234</v>
      </c>
      <c r="B1" s="1"/>
      <c r="C1" s="1"/>
      <c r="D1" s="1"/>
    </row>
    <row r="2" customFormat="false" ht="15" hidden="false" customHeight="true" outlineLevel="0" collapsed="false">
      <c r="A2" s="2" t="s">
        <v>235</v>
      </c>
      <c r="B2" s="2"/>
      <c r="C2" s="2"/>
      <c r="D2" s="2"/>
    </row>
    <row r="4" customFormat="false" ht="18" hidden="false" customHeight="true" outlineLevel="0" collapsed="false">
      <c r="A4" s="3" t="s">
        <v>236</v>
      </c>
      <c r="B4" s="3"/>
      <c r="C4" s="3"/>
      <c r="D4" s="3"/>
    </row>
    <row r="5" customFormat="false" ht="15" hidden="false" customHeight="false" outlineLevel="0" collapsed="false">
      <c r="A5" s="11" t="s">
        <v>135</v>
      </c>
      <c r="B5" s="19" t="n">
        <v>150</v>
      </c>
    </row>
    <row r="6" customFormat="false" ht="15" hidden="false" customHeight="false" outlineLevel="0" collapsed="false">
      <c r="A6" s="11" t="s">
        <v>147</v>
      </c>
      <c r="B6" s="19" t="n">
        <v>25</v>
      </c>
    </row>
    <row r="7" customFormat="false" ht="15" hidden="false" customHeight="false" outlineLevel="0" collapsed="false">
      <c r="A7" s="11" t="s">
        <v>237</v>
      </c>
      <c r="B7" s="19" t="n">
        <v>250</v>
      </c>
    </row>
    <row r="9" customFormat="false" ht="18" hidden="false" customHeight="true" outlineLevel="0" collapsed="false">
      <c r="A9" s="3" t="s">
        <v>198</v>
      </c>
      <c r="B9" s="3"/>
      <c r="C9" s="3"/>
      <c r="D9" s="3"/>
    </row>
    <row r="10" customFormat="false" ht="15" hidden="false" customHeight="false" outlineLevel="0" collapsed="false">
      <c r="A10" s="8" t="s">
        <v>229</v>
      </c>
      <c r="B10" s="23" t="n">
        <f aca="false">B5+B6</f>
        <v>175</v>
      </c>
      <c r="D10" s="13" t="s">
        <v>238</v>
      </c>
    </row>
    <row r="11" customFormat="false" ht="15" hidden="false" customHeight="false" outlineLevel="0" collapsed="false">
      <c r="A11" s="8" t="s">
        <v>239</v>
      </c>
      <c r="B11" s="23" t="n">
        <f aca="false">B7-B10</f>
        <v>75</v>
      </c>
    </row>
    <row r="12" customFormat="false" ht="15" hidden="false" customHeight="false" outlineLevel="0" collapsed="false">
      <c r="A12" s="8" t="s">
        <v>240</v>
      </c>
      <c r="B12" s="26" t="n">
        <f aca="false">IFERROR((B7-B10)/B7,0)</f>
        <v>0.3</v>
      </c>
      <c r="D12" s="13" t="s">
        <v>241</v>
      </c>
    </row>
  </sheetData>
  <sheetProtection sheet="true" formatCells="false" formatColumns="false" formatRows="false" sort="false" autoFilter="false"/>
  <mergeCells count="4">
    <mergeCell ref="A1:D1"/>
    <mergeCell ref="A2:D2"/>
    <mergeCell ref="A4:D4"/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3"/>
    <col collapsed="false" customWidth="true" hidden="false" outlineLevel="0" max="4" min="4" style="0" width="46"/>
  </cols>
  <sheetData>
    <row r="1" customFormat="false" ht="25.5" hidden="false" customHeight="true" outlineLevel="0" collapsed="false">
      <c r="A1" s="1" t="s">
        <v>242</v>
      </c>
      <c r="B1" s="1"/>
      <c r="C1" s="1"/>
      <c r="D1" s="1"/>
    </row>
    <row r="2" customFormat="false" ht="15" hidden="false" customHeight="true" outlineLevel="0" collapsed="false">
      <c r="A2" s="2" t="s">
        <v>243</v>
      </c>
      <c r="B2" s="2"/>
      <c r="C2" s="2"/>
      <c r="D2" s="2"/>
    </row>
    <row r="4" customFormat="false" ht="18" hidden="false" customHeight="true" outlineLevel="0" collapsed="false">
      <c r="A4" s="3" t="s">
        <v>244</v>
      </c>
      <c r="B4" s="3"/>
      <c r="C4" s="3"/>
      <c r="D4" s="3"/>
    </row>
    <row r="5" customFormat="false" ht="15" hidden="false" customHeight="false" outlineLevel="0" collapsed="false">
      <c r="A5" s="11" t="s">
        <v>245</v>
      </c>
      <c r="B5" s="19" t="n">
        <v>150</v>
      </c>
    </row>
    <row r="6" customFormat="false" ht="15" hidden="false" customHeight="false" outlineLevel="0" collapsed="false">
      <c r="A6" s="11" t="s">
        <v>147</v>
      </c>
      <c r="B6" s="19" t="n">
        <v>25</v>
      </c>
    </row>
    <row r="7" customFormat="false" ht="15" hidden="false" customHeight="false" outlineLevel="0" collapsed="false">
      <c r="A7" s="11" t="s">
        <v>237</v>
      </c>
      <c r="B7" s="19" t="n">
        <v>250</v>
      </c>
    </row>
    <row r="8" customFormat="false" ht="15" hidden="false" customHeight="false" outlineLevel="0" collapsed="false">
      <c r="A8" s="8" t="s">
        <v>246</v>
      </c>
      <c r="B8" s="22" t="n">
        <f aca="false">B5+B6</f>
        <v>175</v>
      </c>
    </row>
    <row r="9" customFormat="false" ht="15" hidden="false" customHeight="false" outlineLevel="0" collapsed="false">
      <c r="A9" s="11" t="s">
        <v>247</v>
      </c>
      <c r="B9" s="20" t="n">
        <f aca="false">B7-B8</f>
        <v>75</v>
      </c>
    </row>
    <row r="10" customFormat="false" ht="15" hidden="false" customHeight="false" outlineLevel="0" collapsed="false">
      <c r="A10" s="11" t="s">
        <v>248</v>
      </c>
      <c r="B10" s="24" t="n">
        <f aca="false">IFERROR(B9/B7,0)</f>
        <v>0.3</v>
      </c>
    </row>
    <row r="12" customFormat="false" ht="18" hidden="false" customHeight="true" outlineLevel="0" collapsed="false">
      <c r="A12" s="3" t="s">
        <v>249</v>
      </c>
      <c r="B12" s="3"/>
      <c r="C12" s="3"/>
      <c r="D12" s="3"/>
    </row>
    <row r="13" customFormat="false" ht="15" hidden="false" customHeight="false" outlineLevel="0" collapsed="false">
      <c r="A13" s="11" t="s">
        <v>250</v>
      </c>
      <c r="B13" s="19" t="n">
        <v>165</v>
      </c>
    </row>
    <row r="14" customFormat="false" ht="15" hidden="false" customHeight="false" outlineLevel="0" collapsed="false">
      <c r="A14" s="8" t="s">
        <v>251</v>
      </c>
      <c r="B14" s="22" t="n">
        <f aca="false">B13+B6</f>
        <v>190</v>
      </c>
    </row>
    <row r="15" customFormat="false" ht="15" hidden="false" customHeight="false" outlineLevel="0" collapsed="false">
      <c r="A15" s="11" t="s">
        <v>252</v>
      </c>
      <c r="B15" s="23" t="n">
        <f aca="false">B7-B14</f>
        <v>60</v>
      </c>
    </row>
    <row r="16" customFormat="false" ht="15" hidden="false" customHeight="false" outlineLevel="0" collapsed="false">
      <c r="A16" s="11" t="s">
        <v>253</v>
      </c>
      <c r="B16" s="24" t="n">
        <f aca="false">IFERROR(B15/B7,0)</f>
        <v>0.24</v>
      </c>
    </row>
    <row r="17" customFormat="false" ht="15" hidden="false" customHeight="false" outlineLevel="0" collapsed="false">
      <c r="A17" s="11" t="s">
        <v>254</v>
      </c>
      <c r="B17" s="24" t="n">
        <f aca="false">IFERROR(B15/B14,0)</f>
        <v>0.315789473684211</v>
      </c>
    </row>
    <row r="18" customFormat="false" ht="15" hidden="false" customHeight="false" outlineLevel="0" collapsed="false">
      <c r="A18" s="8" t="s">
        <v>255</v>
      </c>
      <c r="B18" s="23" t="n">
        <f aca="false">B15-B9</f>
        <v>-15</v>
      </c>
    </row>
    <row r="19" customFormat="false" ht="15" hidden="false" customHeight="false" outlineLevel="0" collapsed="false">
      <c r="A19" s="8" t="s">
        <v>256</v>
      </c>
      <c r="B19" s="23" t="n">
        <f aca="false">IFERROR(B14/(1-B10),0)</f>
        <v>271.428571428571</v>
      </c>
      <c r="D19" s="13" t="s">
        <v>257</v>
      </c>
    </row>
  </sheetData>
  <sheetProtection sheet="true" formatCells="false" formatColumns="false" formatRows="false" sort="false" autoFilter="false"/>
  <mergeCells count="4">
    <mergeCell ref="A1:D1"/>
    <mergeCell ref="A2:D2"/>
    <mergeCell ref="A4:D4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3"/>
    <col collapsed="false" customWidth="true" hidden="false" outlineLevel="0" max="4" min="4" style="0" width="46"/>
  </cols>
  <sheetData>
    <row r="1" customFormat="false" ht="25.5" hidden="false" customHeight="true" outlineLevel="0" collapsed="false">
      <c r="A1" s="1" t="s">
        <v>258</v>
      </c>
      <c r="B1" s="1"/>
      <c r="C1" s="1"/>
      <c r="D1" s="1"/>
    </row>
    <row r="2" customFormat="false" ht="15" hidden="false" customHeight="true" outlineLevel="0" collapsed="false">
      <c r="A2" s="2" t="s">
        <v>259</v>
      </c>
      <c r="B2" s="2"/>
      <c r="C2" s="2"/>
      <c r="D2" s="2"/>
    </row>
    <row r="4" customFormat="false" ht="18" hidden="false" customHeight="true" outlineLevel="0" collapsed="false">
      <c r="A4" s="3" t="s">
        <v>236</v>
      </c>
      <c r="B4" s="3"/>
      <c r="C4" s="3"/>
      <c r="D4" s="3"/>
    </row>
    <row r="5" customFormat="false" ht="15" hidden="false" customHeight="false" outlineLevel="0" collapsed="false">
      <c r="A5" s="11" t="s">
        <v>260</v>
      </c>
      <c r="B5" s="19" t="n">
        <v>250</v>
      </c>
    </row>
    <row r="6" customFormat="false" ht="15" hidden="false" customHeight="false" outlineLevel="0" collapsed="false">
      <c r="A6" s="11" t="s">
        <v>147</v>
      </c>
      <c r="B6" s="19" t="n">
        <v>25</v>
      </c>
    </row>
    <row r="7" customFormat="false" ht="15" hidden="false" customHeight="false" outlineLevel="0" collapsed="false">
      <c r="A7" s="11" t="s">
        <v>138</v>
      </c>
      <c r="B7" s="19" t="n">
        <v>50</v>
      </c>
    </row>
    <row r="9" customFormat="false" ht="18" hidden="false" customHeight="true" outlineLevel="0" collapsed="false">
      <c r="A9" s="3" t="s">
        <v>198</v>
      </c>
      <c r="B9" s="3"/>
      <c r="C9" s="3"/>
      <c r="D9" s="3"/>
    </row>
    <row r="10" customFormat="false" ht="15" hidden="false" customHeight="false" outlineLevel="0" collapsed="false">
      <c r="A10" s="8" t="s">
        <v>148</v>
      </c>
      <c r="B10" s="23" t="n">
        <f aca="false">B5-B6-B7</f>
        <v>175</v>
      </c>
      <c r="D10" s="13" t="s">
        <v>261</v>
      </c>
    </row>
    <row r="11" customFormat="false" ht="15" hidden="false" customHeight="false" outlineLevel="0" collapsed="false">
      <c r="A11" s="11" t="s">
        <v>262</v>
      </c>
      <c r="B11" s="24" t="n">
        <f aca="false">IFERROR(B7/B5,0)</f>
        <v>0.2</v>
      </c>
    </row>
    <row r="12" customFormat="false" ht="15" hidden="false" customHeight="false" outlineLevel="0" collapsed="false">
      <c r="A12" s="11" t="s">
        <v>263</v>
      </c>
      <c r="B12" s="24" t="n">
        <f aca="false">IFERROR(B7/(B10+B6),0)</f>
        <v>0.25</v>
      </c>
    </row>
  </sheetData>
  <sheetProtection sheet="true" formatCells="false" formatColumns="false" formatRows="false" sort="false" autoFilter="false"/>
  <mergeCells count="4">
    <mergeCell ref="A1:D1"/>
    <mergeCell ref="A2:D2"/>
    <mergeCell ref="A4:D4"/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6" min="3" style="0" width="13"/>
    <col collapsed="false" customWidth="true" hidden="false" outlineLevel="0" max="7" min="7" style="0" width="14"/>
    <col collapsed="false" customWidth="true" hidden="false" outlineLevel="0" max="9" min="8" style="0" width="11"/>
    <col collapsed="false" customWidth="true" hidden="false" outlineLevel="0" max="10" min="10" style="0" width="6"/>
    <col collapsed="false" customWidth="true" hidden="false" outlineLevel="0" max="11" min="11" style="0" width="3"/>
    <col collapsed="false" customWidth="true" hidden="false" outlineLevel="0" max="12" min="12" style="0" width="24"/>
    <col collapsed="false" customWidth="true" hidden="false" outlineLevel="0" max="16" min="13" style="0" width="12"/>
    <col collapsed="false" customWidth="true" hidden="false" outlineLevel="0" max="17" min="17" style="0" width="13"/>
    <col collapsed="false" customWidth="true" hidden="false" outlineLevel="0" max="19" min="18" style="0" width="10"/>
    <col collapsed="false" customWidth="true" hidden="false" outlineLevel="0" max="20" min="20" style="0" width="12"/>
  </cols>
  <sheetData>
    <row r="1" customFormat="false" ht="25.5" hidden="false" customHeight="true" outlineLevel="0" collapsed="false">
      <c r="A1" s="1" t="s">
        <v>264</v>
      </c>
      <c r="B1" s="1"/>
      <c r="C1" s="1"/>
      <c r="D1" s="1"/>
      <c r="E1" s="1"/>
      <c r="F1" s="1"/>
      <c r="G1" s="1"/>
      <c r="H1" s="1"/>
      <c r="I1" s="1"/>
      <c r="K1" s="27" t="s">
        <v>265</v>
      </c>
    </row>
    <row r="2" customFormat="false" ht="15" hidden="false" customHeight="true" outlineLevel="0" collapsed="false">
      <c r="A2" s="2" t="s">
        <v>266</v>
      </c>
      <c r="B2" s="2"/>
      <c r="C2" s="2"/>
      <c r="D2" s="2"/>
      <c r="E2" s="2"/>
      <c r="F2" s="2"/>
      <c r="G2" s="2"/>
      <c r="H2" s="2"/>
      <c r="I2" s="2"/>
      <c r="K2" s="16" t="n">
        <f aca="false">COUNTIF($L$5:$L$24,"?*")</f>
        <v>3</v>
      </c>
    </row>
    <row r="4" customFormat="false" ht="27.75" hidden="false" customHeight="true" outlineLevel="0" collapsed="false">
      <c r="A4" s="15" t="s">
        <v>267</v>
      </c>
      <c r="B4" s="15" t="s">
        <v>268</v>
      </c>
      <c r="C4" s="15" t="s">
        <v>105</v>
      </c>
      <c r="D4" s="15" t="s">
        <v>269</v>
      </c>
      <c r="E4" s="15" t="s">
        <v>270</v>
      </c>
      <c r="F4" s="15" t="s">
        <v>163</v>
      </c>
      <c r="G4" s="15" t="s">
        <v>166</v>
      </c>
      <c r="H4" s="15" t="s">
        <v>173</v>
      </c>
      <c r="I4" s="15" t="s">
        <v>143</v>
      </c>
      <c r="L4" s="28" t="s">
        <v>271</v>
      </c>
      <c r="M4" s="28"/>
      <c r="N4" s="28"/>
      <c r="O4" s="28"/>
      <c r="P4" s="28"/>
      <c r="Q4" s="28"/>
      <c r="R4" s="28"/>
      <c r="S4" s="28"/>
      <c r="T4" s="28"/>
    </row>
    <row r="5" customFormat="false" ht="15" hidden="false" customHeight="false" outlineLevel="0" collapsed="false">
      <c r="A5" s="17" t="n">
        <f aca="false">ROW()-4</f>
        <v>1</v>
      </c>
      <c r="B5" s="29" t="str">
        <f aca="false">IF($A5&gt;$K$2,"",INDEX($L$5:$L$24,$J5))</f>
        <v>Hydraulic Oil 20L Drum</v>
      </c>
      <c r="C5" s="21" t="n">
        <f aca="false">IF($A5&gt;$K$2,"",INDEX($M$5:$M$24,$J5))</f>
        <v>220.8125</v>
      </c>
      <c r="D5" s="20" t="n">
        <f aca="false">IF($A5&gt;$K$2,"",INDEX($N$5:$N$24,$J5))</f>
        <v>298.096875</v>
      </c>
      <c r="E5" s="20" t="n">
        <f aca="false">IF($A5&gt;$K$2,"",INDEX($O$5:$O$24,$J5))</f>
        <v>260.55875</v>
      </c>
      <c r="F5" s="21" t="n">
        <f aca="false">IF($A5&gt;$K$2,"",INDEX($P$5:$P$24,$J5))</f>
        <v>77.284375</v>
      </c>
      <c r="G5" s="20" t="n">
        <f aca="false">IF($A5&gt;$K$2,"",INDEX($Q$5:$Q$24,$J5))</f>
        <v>39.74625</v>
      </c>
      <c r="H5" s="24" t="n">
        <f aca="false">IF($A5&gt;$K$2,"",INDEX($R$5:$R$24,$J5))</f>
        <v>0.259259259259259</v>
      </c>
      <c r="I5" s="24" t="n">
        <f aca="false">IF($A5&gt;$K$2,"",INDEX($S$5:$S$24,$J5))</f>
        <v>0.35</v>
      </c>
      <c r="J5" s="16" t="n">
        <f aca="false">MATCH(LARGE($T$5:$T$24,A5),$T$5:$T$24,0)</f>
        <v>3</v>
      </c>
      <c r="L5" s="16" t="str">
        <f aca="false">'Product Costing'!A4&amp;""</f>
        <v>10W-40 Motor Oil 1L</v>
      </c>
      <c r="M5" s="20" t="n">
        <f aca="false">'Product Costing'!AC4</f>
        <v>21.875</v>
      </c>
      <c r="N5" s="20" t="n">
        <f aca="false">IF(L5="","",M5*(1+Default_Retail_Markup))</f>
        <v>29.53125</v>
      </c>
      <c r="O5" s="20" t="n">
        <f aca="false">IF(L5="","",M5*(1+Default_Wholesale_Markup))</f>
        <v>25.8125</v>
      </c>
      <c r="P5" s="20" t="n">
        <f aca="false">IF(L5="","",N5-M5)</f>
        <v>7.65625</v>
      </c>
      <c r="Q5" s="20" t="n">
        <f aca="false">IF(L5="","",O5-M5)</f>
        <v>3.9375</v>
      </c>
      <c r="R5" s="24" t="n">
        <f aca="false">IF(L5="","",IFERROR(P5/N5,0))</f>
        <v>0.259259259259259</v>
      </c>
      <c r="S5" s="24" t="n">
        <f aca="false">IF(L5="","",IFERROR(P5/M5,0))</f>
        <v>0.35</v>
      </c>
      <c r="T5" s="16" t="n">
        <f aca="false">IF(L5="",-999999999,P5+(1000-ROW())*0.0000001)</f>
        <v>7.6563495</v>
      </c>
    </row>
    <row r="6" customFormat="false" ht="15" hidden="false" customHeight="false" outlineLevel="0" collapsed="false">
      <c r="A6" s="17" t="n">
        <f aca="false">ROW()-4</f>
        <v>2</v>
      </c>
      <c r="B6" s="29" t="str">
        <f aca="false">IF($A6&gt;$K$2,"",INDEX($L$5:$L$24,$J6))</f>
        <v>20W-50 Motor Oil 4L</v>
      </c>
      <c r="C6" s="21" t="n">
        <f aca="false">IF($A6&gt;$K$2,"",INDEX($M$5:$M$24,$J6))</f>
        <v>43.7777777777778</v>
      </c>
      <c r="D6" s="20" t="n">
        <f aca="false">IF($A6&gt;$K$2,"",INDEX($N$5:$N$24,$J6))</f>
        <v>59.1</v>
      </c>
      <c r="E6" s="20" t="n">
        <f aca="false">IF($A6&gt;$K$2,"",INDEX($O$5:$O$24,$J6))</f>
        <v>51.6577777777778</v>
      </c>
      <c r="F6" s="21" t="n">
        <f aca="false">IF($A6&gt;$K$2,"",INDEX($P$5:$P$24,$J6))</f>
        <v>15.3222222222222</v>
      </c>
      <c r="G6" s="20" t="n">
        <f aca="false">IF($A6&gt;$K$2,"",INDEX($Q$5:$Q$24,$J6))</f>
        <v>7.88</v>
      </c>
      <c r="H6" s="24" t="n">
        <f aca="false">IF($A6&gt;$K$2,"",INDEX($R$5:$R$24,$J6))</f>
        <v>0.259259259259259</v>
      </c>
      <c r="I6" s="24" t="n">
        <f aca="false">IF($A6&gt;$K$2,"",INDEX($S$5:$S$24,$J6))</f>
        <v>0.35</v>
      </c>
      <c r="J6" s="16" t="n">
        <f aca="false">MATCH(LARGE($T$5:$T$24,A6),$T$5:$T$24,0)</f>
        <v>2</v>
      </c>
      <c r="L6" s="16" t="str">
        <f aca="false">'Product Costing'!A5&amp;""</f>
        <v>20W-50 Motor Oil 4L</v>
      </c>
      <c r="M6" s="20" t="n">
        <f aca="false">'Product Costing'!AC5</f>
        <v>43.7777777777778</v>
      </c>
      <c r="N6" s="20" t="n">
        <f aca="false">IF(L6="","",M6*(1+Default_Retail_Markup))</f>
        <v>59.1</v>
      </c>
      <c r="O6" s="20" t="n">
        <f aca="false">IF(L6="","",M6*(1+Default_Wholesale_Markup))</f>
        <v>51.6577777777778</v>
      </c>
      <c r="P6" s="20" t="n">
        <f aca="false">IF(L6="","",N6-M6)</f>
        <v>15.3222222222222</v>
      </c>
      <c r="Q6" s="20" t="n">
        <f aca="false">IF(L6="","",O6-M6)</f>
        <v>7.88</v>
      </c>
      <c r="R6" s="24" t="n">
        <f aca="false">IF(L6="","",IFERROR(P6/N6,0))</f>
        <v>0.259259259259259</v>
      </c>
      <c r="S6" s="24" t="n">
        <f aca="false">IF(L6="","",IFERROR(P6/M6,0))</f>
        <v>0.35</v>
      </c>
      <c r="T6" s="16" t="n">
        <f aca="false">IF(L6="",-999999999,P6+(1000-ROW())*0.0000001)</f>
        <v>15.3223216222222</v>
      </c>
    </row>
    <row r="7" customFormat="false" ht="15" hidden="false" customHeight="false" outlineLevel="0" collapsed="false">
      <c r="A7" s="17" t="n">
        <f aca="false">ROW()-4</f>
        <v>3</v>
      </c>
      <c r="B7" s="29" t="str">
        <f aca="false">IF($A7&gt;$K$2,"",INDEX($L$5:$L$24,$J7))</f>
        <v>10W-40 Motor Oil 1L</v>
      </c>
      <c r="C7" s="21" t="n">
        <f aca="false">IF($A7&gt;$K$2,"",INDEX($M$5:$M$24,$J7))</f>
        <v>21.875</v>
      </c>
      <c r="D7" s="20" t="n">
        <f aca="false">IF($A7&gt;$K$2,"",INDEX($N$5:$N$24,$J7))</f>
        <v>29.53125</v>
      </c>
      <c r="E7" s="20" t="n">
        <f aca="false">IF($A7&gt;$K$2,"",INDEX($O$5:$O$24,$J7))</f>
        <v>25.8125</v>
      </c>
      <c r="F7" s="21" t="n">
        <f aca="false">IF($A7&gt;$K$2,"",INDEX($P$5:$P$24,$J7))</f>
        <v>7.65625</v>
      </c>
      <c r="G7" s="20" t="n">
        <f aca="false">IF($A7&gt;$K$2,"",INDEX($Q$5:$Q$24,$J7))</f>
        <v>3.9375</v>
      </c>
      <c r="H7" s="24" t="n">
        <f aca="false">IF($A7&gt;$K$2,"",INDEX($R$5:$R$24,$J7))</f>
        <v>0.259259259259259</v>
      </c>
      <c r="I7" s="24" t="n">
        <f aca="false">IF($A7&gt;$K$2,"",INDEX($S$5:$S$24,$J7))</f>
        <v>0.35</v>
      </c>
      <c r="J7" s="16" t="n">
        <f aca="false">MATCH(LARGE($T$5:$T$24,A7),$T$5:$T$24,0)</f>
        <v>1</v>
      </c>
      <c r="L7" s="16" t="str">
        <f aca="false">'Product Costing'!A6&amp;""</f>
        <v>Hydraulic Oil 20L Drum</v>
      </c>
      <c r="M7" s="20" t="n">
        <f aca="false">'Product Costing'!AC6</f>
        <v>220.8125</v>
      </c>
      <c r="N7" s="20" t="n">
        <f aca="false">IF(L7="","",M7*(1+Default_Retail_Markup))</f>
        <v>298.096875</v>
      </c>
      <c r="O7" s="20" t="n">
        <f aca="false">IF(L7="","",M7*(1+Default_Wholesale_Markup))</f>
        <v>260.55875</v>
      </c>
      <c r="P7" s="20" t="n">
        <f aca="false">IF(L7="","",N7-M7)</f>
        <v>77.284375</v>
      </c>
      <c r="Q7" s="20" t="n">
        <f aca="false">IF(L7="","",O7-M7)</f>
        <v>39.74625</v>
      </c>
      <c r="R7" s="24" t="n">
        <f aca="false">IF(L7="","",IFERROR(P7/N7,0))</f>
        <v>0.259259259259259</v>
      </c>
      <c r="S7" s="24" t="n">
        <f aca="false">IF(L7="","",IFERROR(P7/M7,0))</f>
        <v>0.35</v>
      </c>
      <c r="T7" s="16" t="n">
        <f aca="false">IF(L7="",-999999999,P7+(1000-ROW())*0.0000001)</f>
        <v>77.2844743</v>
      </c>
    </row>
    <row r="8" customFormat="false" ht="15" hidden="false" customHeight="false" outlineLevel="0" collapsed="false">
      <c r="A8" s="17" t="n">
        <f aca="false">ROW()-4</f>
        <v>4</v>
      </c>
      <c r="B8" s="29" t="str">
        <f aca="false">IF($A8&gt;$K$2,"",INDEX($L$5:$L$24,$J8))</f>
        <v/>
      </c>
      <c r="C8" s="21" t="str">
        <f aca="false">IF($A8&gt;$K$2,"",INDEX($M$5:$M$24,$J8))</f>
        <v/>
      </c>
      <c r="D8" s="20" t="str">
        <f aca="false">IF($A8&gt;$K$2,"",INDEX($N$5:$N$24,$J8))</f>
        <v/>
      </c>
      <c r="E8" s="20" t="str">
        <f aca="false">IF($A8&gt;$K$2,"",INDEX($O$5:$O$24,$J8))</f>
        <v/>
      </c>
      <c r="F8" s="21" t="str">
        <f aca="false">IF($A8&gt;$K$2,"",INDEX($P$5:$P$24,$J8))</f>
        <v/>
      </c>
      <c r="G8" s="20" t="str">
        <f aca="false">IF($A8&gt;$K$2,"",INDEX($Q$5:$Q$24,$J8))</f>
        <v/>
      </c>
      <c r="H8" s="24" t="str">
        <f aca="false">IF($A8&gt;$K$2,"",INDEX($R$5:$R$24,$J8))</f>
        <v/>
      </c>
      <c r="I8" s="24" t="str">
        <f aca="false">IF($A8&gt;$K$2,"",INDEX($S$5:$S$24,$J8))</f>
        <v/>
      </c>
      <c r="J8" s="16" t="n">
        <f aca="false">MATCH(LARGE($T$5:$T$24,A8),$T$5:$T$24,0)</f>
        <v>4</v>
      </c>
      <c r="L8" s="16" t="str">
        <f aca="false">'Product Costing'!A7&amp;""</f>
        <v/>
      </c>
      <c r="M8" s="20" t="str">
        <f aca="false">'Product Costing'!AC7</f>
        <v/>
      </c>
      <c r="N8" s="20" t="str">
        <f aca="false">IF(L8="","",M8*(1+Default_Retail_Markup))</f>
        <v/>
      </c>
      <c r="O8" s="20" t="str">
        <f aca="false">IF(L8="","",M8*(1+Default_Wholesale_Markup))</f>
        <v/>
      </c>
      <c r="P8" s="20" t="str">
        <f aca="false">IF(L8="","",N8-M8)</f>
        <v/>
      </c>
      <c r="Q8" s="20" t="str">
        <f aca="false">IF(L8="","",O8-M8)</f>
        <v/>
      </c>
      <c r="R8" s="24" t="str">
        <f aca="false">IF(L8="","",IFERROR(P8/N8,0))</f>
        <v/>
      </c>
      <c r="S8" s="24" t="str">
        <f aca="false">IF(L8="","",IFERROR(P8/M8,0))</f>
        <v/>
      </c>
      <c r="T8" s="16" t="n">
        <f aca="false">IF(L8="",-999999999,P8+(1000-ROW())*0.0000001)</f>
        <v>-999999999</v>
      </c>
    </row>
    <row r="9" customFormat="false" ht="15" hidden="false" customHeight="false" outlineLevel="0" collapsed="false">
      <c r="A9" s="17" t="n">
        <f aca="false">ROW()-4</f>
        <v>5</v>
      </c>
      <c r="B9" s="29" t="str">
        <f aca="false">IF($A9&gt;$K$2,"",INDEX($L$5:$L$24,$J9))</f>
        <v/>
      </c>
      <c r="C9" s="21" t="str">
        <f aca="false">IF($A9&gt;$K$2,"",INDEX($M$5:$M$24,$J9))</f>
        <v/>
      </c>
      <c r="D9" s="20" t="str">
        <f aca="false">IF($A9&gt;$K$2,"",INDEX($N$5:$N$24,$J9))</f>
        <v/>
      </c>
      <c r="E9" s="20" t="str">
        <f aca="false">IF($A9&gt;$K$2,"",INDEX($O$5:$O$24,$J9))</f>
        <v/>
      </c>
      <c r="F9" s="21" t="str">
        <f aca="false">IF($A9&gt;$K$2,"",INDEX($P$5:$P$24,$J9))</f>
        <v/>
      </c>
      <c r="G9" s="20" t="str">
        <f aca="false">IF($A9&gt;$K$2,"",INDEX($Q$5:$Q$24,$J9))</f>
        <v/>
      </c>
      <c r="H9" s="24" t="str">
        <f aca="false">IF($A9&gt;$K$2,"",INDEX($R$5:$R$24,$J9))</f>
        <v/>
      </c>
      <c r="I9" s="24" t="str">
        <f aca="false">IF($A9&gt;$K$2,"",INDEX($S$5:$S$24,$J9))</f>
        <v/>
      </c>
      <c r="J9" s="16" t="n">
        <f aca="false">MATCH(LARGE($T$5:$T$24,A9),$T$5:$T$24,0)</f>
        <v>4</v>
      </c>
      <c r="L9" s="16" t="str">
        <f aca="false">'Product Costing'!A8&amp;""</f>
        <v/>
      </c>
      <c r="M9" s="20" t="str">
        <f aca="false">'Product Costing'!AC8</f>
        <v/>
      </c>
      <c r="N9" s="20" t="str">
        <f aca="false">IF(L9="","",M9*(1+Default_Retail_Markup))</f>
        <v/>
      </c>
      <c r="O9" s="20" t="str">
        <f aca="false">IF(L9="","",M9*(1+Default_Wholesale_Markup))</f>
        <v/>
      </c>
      <c r="P9" s="20" t="str">
        <f aca="false">IF(L9="","",N9-M9)</f>
        <v/>
      </c>
      <c r="Q9" s="20" t="str">
        <f aca="false">IF(L9="","",O9-M9)</f>
        <v/>
      </c>
      <c r="R9" s="24" t="str">
        <f aca="false">IF(L9="","",IFERROR(P9/N9,0))</f>
        <v/>
      </c>
      <c r="S9" s="24" t="str">
        <f aca="false">IF(L9="","",IFERROR(P9/M9,0))</f>
        <v/>
      </c>
      <c r="T9" s="16" t="n">
        <f aca="false">IF(L9="",-999999999,P9+(1000-ROW())*0.0000001)</f>
        <v>-999999999</v>
      </c>
    </row>
    <row r="10" customFormat="false" ht="15" hidden="false" customHeight="false" outlineLevel="0" collapsed="false">
      <c r="A10" s="17" t="n">
        <f aca="false">ROW()-4</f>
        <v>6</v>
      </c>
      <c r="B10" s="29" t="str">
        <f aca="false">IF($A10&gt;$K$2,"",INDEX($L$5:$L$24,$J10))</f>
        <v/>
      </c>
      <c r="C10" s="21" t="str">
        <f aca="false">IF($A10&gt;$K$2,"",INDEX($M$5:$M$24,$J10))</f>
        <v/>
      </c>
      <c r="D10" s="20" t="str">
        <f aca="false">IF($A10&gt;$K$2,"",INDEX($N$5:$N$24,$J10))</f>
        <v/>
      </c>
      <c r="E10" s="20" t="str">
        <f aca="false">IF($A10&gt;$K$2,"",INDEX($O$5:$O$24,$J10))</f>
        <v/>
      </c>
      <c r="F10" s="21" t="str">
        <f aca="false">IF($A10&gt;$K$2,"",INDEX($P$5:$P$24,$J10))</f>
        <v/>
      </c>
      <c r="G10" s="20" t="str">
        <f aca="false">IF($A10&gt;$K$2,"",INDEX($Q$5:$Q$24,$J10))</f>
        <v/>
      </c>
      <c r="H10" s="24" t="str">
        <f aca="false">IF($A10&gt;$K$2,"",INDEX($R$5:$R$24,$J10))</f>
        <v/>
      </c>
      <c r="I10" s="24" t="str">
        <f aca="false">IF($A10&gt;$K$2,"",INDEX($S$5:$S$24,$J10))</f>
        <v/>
      </c>
      <c r="J10" s="16" t="n">
        <f aca="false">MATCH(LARGE($T$5:$T$24,A10),$T$5:$T$24,0)</f>
        <v>4</v>
      </c>
      <c r="L10" s="16" t="str">
        <f aca="false">'Product Costing'!A9&amp;""</f>
        <v/>
      </c>
      <c r="M10" s="20" t="str">
        <f aca="false">'Product Costing'!AC9</f>
        <v/>
      </c>
      <c r="N10" s="20" t="str">
        <f aca="false">IF(L10="","",M10*(1+Default_Retail_Markup))</f>
        <v/>
      </c>
      <c r="O10" s="20" t="str">
        <f aca="false">IF(L10="","",M10*(1+Default_Wholesale_Markup))</f>
        <v/>
      </c>
      <c r="P10" s="20" t="str">
        <f aca="false">IF(L10="","",N10-M10)</f>
        <v/>
      </c>
      <c r="Q10" s="20" t="str">
        <f aca="false">IF(L10="","",O10-M10)</f>
        <v/>
      </c>
      <c r="R10" s="24" t="str">
        <f aca="false">IF(L10="","",IFERROR(P10/N10,0))</f>
        <v/>
      </c>
      <c r="S10" s="24" t="str">
        <f aca="false">IF(L10="","",IFERROR(P10/M10,0))</f>
        <v/>
      </c>
      <c r="T10" s="16" t="n">
        <f aca="false">IF(L10="",-999999999,P10+(1000-ROW())*0.0000001)</f>
        <v>-999999999</v>
      </c>
    </row>
    <row r="11" customFormat="false" ht="15" hidden="false" customHeight="false" outlineLevel="0" collapsed="false">
      <c r="A11" s="17" t="n">
        <f aca="false">ROW()-4</f>
        <v>7</v>
      </c>
      <c r="B11" s="29" t="str">
        <f aca="false">IF($A11&gt;$K$2,"",INDEX($L$5:$L$24,$J11))</f>
        <v/>
      </c>
      <c r="C11" s="21" t="str">
        <f aca="false">IF($A11&gt;$K$2,"",INDEX($M$5:$M$24,$J11))</f>
        <v/>
      </c>
      <c r="D11" s="20" t="str">
        <f aca="false">IF($A11&gt;$K$2,"",INDEX($N$5:$N$24,$J11))</f>
        <v/>
      </c>
      <c r="E11" s="20" t="str">
        <f aca="false">IF($A11&gt;$K$2,"",INDEX($O$5:$O$24,$J11))</f>
        <v/>
      </c>
      <c r="F11" s="21" t="str">
        <f aca="false">IF($A11&gt;$K$2,"",INDEX($P$5:$P$24,$J11))</f>
        <v/>
      </c>
      <c r="G11" s="20" t="str">
        <f aca="false">IF($A11&gt;$K$2,"",INDEX($Q$5:$Q$24,$J11))</f>
        <v/>
      </c>
      <c r="H11" s="24" t="str">
        <f aca="false">IF($A11&gt;$K$2,"",INDEX($R$5:$R$24,$J11))</f>
        <v/>
      </c>
      <c r="I11" s="24" t="str">
        <f aca="false">IF($A11&gt;$K$2,"",INDEX($S$5:$S$24,$J11))</f>
        <v/>
      </c>
      <c r="J11" s="16" t="n">
        <f aca="false">MATCH(LARGE($T$5:$T$24,A11),$T$5:$T$24,0)</f>
        <v>4</v>
      </c>
      <c r="L11" s="16" t="str">
        <f aca="false">'Product Costing'!A10&amp;""</f>
        <v/>
      </c>
      <c r="M11" s="20" t="str">
        <f aca="false">'Product Costing'!AC10</f>
        <v/>
      </c>
      <c r="N11" s="20" t="str">
        <f aca="false">IF(L11="","",M11*(1+Default_Retail_Markup))</f>
        <v/>
      </c>
      <c r="O11" s="20" t="str">
        <f aca="false">IF(L11="","",M11*(1+Default_Wholesale_Markup))</f>
        <v/>
      </c>
      <c r="P11" s="20" t="str">
        <f aca="false">IF(L11="","",N11-M11)</f>
        <v/>
      </c>
      <c r="Q11" s="20" t="str">
        <f aca="false">IF(L11="","",O11-M11)</f>
        <v/>
      </c>
      <c r="R11" s="24" t="str">
        <f aca="false">IF(L11="","",IFERROR(P11/N11,0))</f>
        <v/>
      </c>
      <c r="S11" s="24" t="str">
        <f aca="false">IF(L11="","",IFERROR(P11/M11,0))</f>
        <v/>
      </c>
      <c r="T11" s="16" t="n">
        <f aca="false">IF(L11="",-999999999,P11+(1000-ROW())*0.0000001)</f>
        <v>-999999999</v>
      </c>
    </row>
    <row r="12" customFormat="false" ht="15" hidden="false" customHeight="false" outlineLevel="0" collapsed="false">
      <c r="A12" s="17" t="n">
        <f aca="false">ROW()-4</f>
        <v>8</v>
      </c>
      <c r="B12" s="29" t="str">
        <f aca="false">IF($A12&gt;$K$2,"",INDEX($L$5:$L$24,$J12))</f>
        <v/>
      </c>
      <c r="C12" s="21" t="str">
        <f aca="false">IF($A12&gt;$K$2,"",INDEX($M$5:$M$24,$J12))</f>
        <v/>
      </c>
      <c r="D12" s="20" t="str">
        <f aca="false">IF($A12&gt;$K$2,"",INDEX($N$5:$N$24,$J12))</f>
        <v/>
      </c>
      <c r="E12" s="20" t="str">
        <f aca="false">IF($A12&gt;$K$2,"",INDEX($O$5:$O$24,$J12))</f>
        <v/>
      </c>
      <c r="F12" s="21" t="str">
        <f aca="false">IF($A12&gt;$K$2,"",INDEX($P$5:$P$24,$J12))</f>
        <v/>
      </c>
      <c r="G12" s="20" t="str">
        <f aca="false">IF($A12&gt;$K$2,"",INDEX($Q$5:$Q$24,$J12))</f>
        <v/>
      </c>
      <c r="H12" s="24" t="str">
        <f aca="false">IF($A12&gt;$K$2,"",INDEX($R$5:$R$24,$J12))</f>
        <v/>
      </c>
      <c r="I12" s="24" t="str">
        <f aca="false">IF($A12&gt;$K$2,"",INDEX($S$5:$S$24,$J12))</f>
        <v/>
      </c>
      <c r="J12" s="16" t="n">
        <f aca="false">MATCH(LARGE($T$5:$T$24,A12),$T$5:$T$24,0)</f>
        <v>4</v>
      </c>
      <c r="L12" s="16" t="str">
        <f aca="false">'Product Costing'!A11&amp;""</f>
        <v/>
      </c>
      <c r="M12" s="20" t="str">
        <f aca="false">'Product Costing'!AC11</f>
        <v/>
      </c>
      <c r="N12" s="20" t="str">
        <f aca="false">IF(L12="","",M12*(1+Default_Retail_Markup))</f>
        <v/>
      </c>
      <c r="O12" s="20" t="str">
        <f aca="false">IF(L12="","",M12*(1+Default_Wholesale_Markup))</f>
        <v/>
      </c>
      <c r="P12" s="20" t="str">
        <f aca="false">IF(L12="","",N12-M12)</f>
        <v/>
      </c>
      <c r="Q12" s="20" t="str">
        <f aca="false">IF(L12="","",O12-M12)</f>
        <v/>
      </c>
      <c r="R12" s="24" t="str">
        <f aca="false">IF(L12="","",IFERROR(P12/N12,0))</f>
        <v/>
      </c>
      <c r="S12" s="24" t="str">
        <f aca="false">IF(L12="","",IFERROR(P12/M12,0))</f>
        <v/>
      </c>
      <c r="T12" s="16" t="n">
        <f aca="false">IF(L12="",-999999999,P12+(1000-ROW())*0.0000001)</f>
        <v>-999999999</v>
      </c>
    </row>
    <row r="13" customFormat="false" ht="15" hidden="false" customHeight="false" outlineLevel="0" collapsed="false">
      <c r="A13" s="17" t="n">
        <f aca="false">ROW()-4</f>
        <v>9</v>
      </c>
      <c r="B13" s="29" t="str">
        <f aca="false">IF($A13&gt;$K$2,"",INDEX($L$5:$L$24,$J13))</f>
        <v/>
      </c>
      <c r="C13" s="21" t="str">
        <f aca="false">IF($A13&gt;$K$2,"",INDEX($M$5:$M$24,$J13))</f>
        <v/>
      </c>
      <c r="D13" s="20" t="str">
        <f aca="false">IF($A13&gt;$K$2,"",INDEX($N$5:$N$24,$J13))</f>
        <v/>
      </c>
      <c r="E13" s="20" t="str">
        <f aca="false">IF($A13&gt;$K$2,"",INDEX($O$5:$O$24,$J13))</f>
        <v/>
      </c>
      <c r="F13" s="21" t="str">
        <f aca="false">IF($A13&gt;$K$2,"",INDEX($P$5:$P$24,$J13))</f>
        <v/>
      </c>
      <c r="G13" s="20" t="str">
        <f aca="false">IF($A13&gt;$K$2,"",INDEX($Q$5:$Q$24,$J13))</f>
        <v/>
      </c>
      <c r="H13" s="24" t="str">
        <f aca="false">IF($A13&gt;$K$2,"",INDEX($R$5:$R$24,$J13))</f>
        <v/>
      </c>
      <c r="I13" s="24" t="str">
        <f aca="false">IF($A13&gt;$K$2,"",INDEX($S$5:$S$24,$J13))</f>
        <v/>
      </c>
      <c r="J13" s="16" t="n">
        <f aca="false">MATCH(LARGE($T$5:$T$24,A13),$T$5:$T$24,0)</f>
        <v>4</v>
      </c>
      <c r="L13" s="16" t="str">
        <f aca="false">'Product Costing'!A12&amp;""</f>
        <v/>
      </c>
      <c r="M13" s="20" t="str">
        <f aca="false">'Product Costing'!AC12</f>
        <v/>
      </c>
      <c r="N13" s="20" t="str">
        <f aca="false">IF(L13="","",M13*(1+Default_Retail_Markup))</f>
        <v/>
      </c>
      <c r="O13" s="20" t="str">
        <f aca="false">IF(L13="","",M13*(1+Default_Wholesale_Markup))</f>
        <v/>
      </c>
      <c r="P13" s="20" t="str">
        <f aca="false">IF(L13="","",N13-M13)</f>
        <v/>
      </c>
      <c r="Q13" s="20" t="str">
        <f aca="false">IF(L13="","",O13-M13)</f>
        <v/>
      </c>
      <c r="R13" s="24" t="str">
        <f aca="false">IF(L13="","",IFERROR(P13/N13,0))</f>
        <v/>
      </c>
      <c r="S13" s="24" t="str">
        <f aca="false">IF(L13="","",IFERROR(P13/M13,0))</f>
        <v/>
      </c>
      <c r="T13" s="16" t="n">
        <f aca="false">IF(L13="",-999999999,P13+(1000-ROW())*0.0000001)</f>
        <v>-999999999</v>
      </c>
    </row>
    <row r="14" customFormat="false" ht="15" hidden="false" customHeight="false" outlineLevel="0" collapsed="false">
      <c r="A14" s="17" t="n">
        <f aca="false">ROW()-4</f>
        <v>10</v>
      </c>
      <c r="B14" s="29" t="str">
        <f aca="false">IF($A14&gt;$K$2,"",INDEX($L$5:$L$24,$J14))</f>
        <v/>
      </c>
      <c r="C14" s="21" t="str">
        <f aca="false">IF($A14&gt;$K$2,"",INDEX($M$5:$M$24,$J14))</f>
        <v/>
      </c>
      <c r="D14" s="20" t="str">
        <f aca="false">IF($A14&gt;$K$2,"",INDEX($N$5:$N$24,$J14))</f>
        <v/>
      </c>
      <c r="E14" s="20" t="str">
        <f aca="false">IF($A14&gt;$K$2,"",INDEX($O$5:$O$24,$J14))</f>
        <v/>
      </c>
      <c r="F14" s="21" t="str">
        <f aca="false">IF($A14&gt;$K$2,"",INDEX($P$5:$P$24,$J14))</f>
        <v/>
      </c>
      <c r="G14" s="20" t="str">
        <f aca="false">IF($A14&gt;$K$2,"",INDEX($Q$5:$Q$24,$J14))</f>
        <v/>
      </c>
      <c r="H14" s="24" t="str">
        <f aca="false">IF($A14&gt;$K$2,"",INDEX($R$5:$R$24,$J14))</f>
        <v/>
      </c>
      <c r="I14" s="24" t="str">
        <f aca="false">IF($A14&gt;$K$2,"",INDEX($S$5:$S$24,$J14))</f>
        <v/>
      </c>
      <c r="J14" s="16" t="n">
        <f aca="false">MATCH(LARGE($T$5:$T$24,A14),$T$5:$T$24,0)</f>
        <v>4</v>
      </c>
      <c r="L14" s="16" t="str">
        <f aca="false">'Product Costing'!A13&amp;""</f>
        <v/>
      </c>
      <c r="M14" s="20" t="str">
        <f aca="false">'Product Costing'!AC13</f>
        <v/>
      </c>
      <c r="N14" s="20" t="str">
        <f aca="false">IF(L14="","",M14*(1+Default_Retail_Markup))</f>
        <v/>
      </c>
      <c r="O14" s="20" t="str">
        <f aca="false">IF(L14="","",M14*(1+Default_Wholesale_Markup))</f>
        <v/>
      </c>
      <c r="P14" s="20" t="str">
        <f aca="false">IF(L14="","",N14-M14)</f>
        <v/>
      </c>
      <c r="Q14" s="20" t="str">
        <f aca="false">IF(L14="","",O14-M14)</f>
        <v/>
      </c>
      <c r="R14" s="24" t="str">
        <f aca="false">IF(L14="","",IFERROR(P14/N14,0))</f>
        <v/>
      </c>
      <c r="S14" s="24" t="str">
        <f aca="false">IF(L14="","",IFERROR(P14/M14,0))</f>
        <v/>
      </c>
      <c r="T14" s="16" t="n">
        <f aca="false">IF(L14="",-999999999,P14+(1000-ROW())*0.0000001)</f>
        <v>-999999999</v>
      </c>
    </row>
    <row r="15" customFormat="false" ht="15" hidden="false" customHeight="false" outlineLevel="0" collapsed="false">
      <c r="A15" s="17" t="n">
        <f aca="false">ROW()-4</f>
        <v>11</v>
      </c>
      <c r="B15" s="29" t="str">
        <f aca="false">IF($A15&gt;$K$2,"",INDEX($L$5:$L$24,$J15))</f>
        <v/>
      </c>
      <c r="C15" s="21" t="str">
        <f aca="false">IF($A15&gt;$K$2,"",INDEX($M$5:$M$24,$J15))</f>
        <v/>
      </c>
      <c r="D15" s="20" t="str">
        <f aca="false">IF($A15&gt;$K$2,"",INDEX($N$5:$N$24,$J15))</f>
        <v/>
      </c>
      <c r="E15" s="20" t="str">
        <f aca="false">IF($A15&gt;$K$2,"",INDEX($O$5:$O$24,$J15))</f>
        <v/>
      </c>
      <c r="F15" s="21" t="str">
        <f aca="false">IF($A15&gt;$K$2,"",INDEX($P$5:$P$24,$J15))</f>
        <v/>
      </c>
      <c r="G15" s="20" t="str">
        <f aca="false">IF($A15&gt;$K$2,"",INDEX($Q$5:$Q$24,$J15))</f>
        <v/>
      </c>
      <c r="H15" s="24" t="str">
        <f aca="false">IF($A15&gt;$K$2,"",INDEX($R$5:$R$24,$J15))</f>
        <v/>
      </c>
      <c r="I15" s="24" t="str">
        <f aca="false">IF($A15&gt;$K$2,"",INDEX($S$5:$S$24,$J15))</f>
        <v/>
      </c>
      <c r="J15" s="16" t="n">
        <f aca="false">MATCH(LARGE($T$5:$T$24,A15),$T$5:$T$24,0)</f>
        <v>4</v>
      </c>
      <c r="L15" s="16" t="str">
        <f aca="false">'Product Costing'!A14&amp;""</f>
        <v/>
      </c>
      <c r="M15" s="20" t="str">
        <f aca="false">'Product Costing'!AC14</f>
        <v/>
      </c>
      <c r="N15" s="20" t="str">
        <f aca="false">IF(L15="","",M15*(1+Default_Retail_Markup))</f>
        <v/>
      </c>
      <c r="O15" s="20" t="str">
        <f aca="false">IF(L15="","",M15*(1+Default_Wholesale_Markup))</f>
        <v/>
      </c>
      <c r="P15" s="20" t="str">
        <f aca="false">IF(L15="","",N15-M15)</f>
        <v/>
      </c>
      <c r="Q15" s="20" t="str">
        <f aca="false">IF(L15="","",O15-M15)</f>
        <v/>
      </c>
      <c r="R15" s="24" t="str">
        <f aca="false">IF(L15="","",IFERROR(P15/N15,0))</f>
        <v/>
      </c>
      <c r="S15" s="24" t="str">
        <f aca="false">IF(L15="","",IFERROR(P15/M15,0))</f>
        <v/>
      </c>
      <c r="T15" s="16" t="n">
        <f aca="false">IF(L15="",-999999999,P15+(1000-ROW())*0.0000001)</f>
        <v>-999999999</v>
      </c>
    </row>
    <row r="16" customFormat="false" ht="15" hidden="false" customHeight="false" outlineLevel="0" collapsed="false">
      <c r="A16" s="17" t="n">
        <f aca="false">ROW()-4</f>
        <v>12</v>
      </c>
      <c r="B16" s="29" t="str">
        <f aca="false">IF($A16&gt;$K$2,"",INDEX($L$5:$L$24,$J16))</f>
        <v/>
      </c>
      <c r="C16" s="21" t="str">
        <f aca="false">IF($A16&gt;$K$2,"",INDEX($M$5:$M$24,$J16))</f>
        <v/>
      </c>
      <c r="D16" s="20" t="str">
        <f aca="false">IF($A16&gt;$K$2,"",INDEX($N$5:$N$24,$J16))</f>
        <v/>
      </c>
      <c r="E16" s="20" t="str">
        <f aca="false">IF($A16&gt;$K$2,"",INDEX($O$5:$O$24,$J16))</f>
        <v/>
      </c>
      <c r="F16" s="21" t="str">
        <f aca="false">IF($A16&gt;$K$2,"",INDEX($P$5:$P$24,$J16))</f>
        <v/>
      </c>
      <c r="G16" s="20" t="str">
        <f aca="false">IF($A16&gt;$K$2,"",INDEX($Q$5:$Q$24,$J16))</f>
        <v/>
      </c>
      <c r="H16" s="24" t="str">
        <f aca="false">IF($A16&gt;$K$2,"",INDEX($R$5:$R$24,$J16))</f>
        <v/>
      </c>
      <c r="I16" s="24" t="str">
        <f aca="false">IF($A16&gt;$K$2,"",INDEX($S$5:$S$24,$J16))</f>
        <v/>
      </c>
      <c r="J16" s="16" t="n">
        <f aca="false">MATCH(LARGE($T$5:$T$24,A16),$T$5:$T$24,0)</f>
        <v>4</v>
      </c>
      <c r="L16" s="16" t="str">
        <f aca="false">'Product Costing'!A15&amp;""</f>
        <v/>
      </c>
      <c r="M16" s="20" t="str">
        <f aca="false">'Product Costing'!AC15</f>
        <v/>
      </c>
      <c r="N16" s="20" t="str">
        <f aca="false">IF(L16="","",M16*(1+Default_Retail_Markup))</f>
        <v/>
      </c>
      <c r="O16" s="20" t="str">
        <f aca="false">IF(L16="","",M16*(1+Default_Wholesale_Markup))</f>
        <v/>
      </c>
      <c r="P16" s="20" t="str">
        <f aca="false">IF(L16="","",N16-M16)</f>
        <v/>
      </c>
      <c r="Q16" s="20" t="str">
        <f aca="false">IF(L16="","",O16-M16)</f>
        <v/>
      </c>
      <c r="R16" s="24" t="str">
        <f aca="false">IF(L16="","",IFERROR(P16/N16,0))</f>
        <v/>
      </c>
      <c r="S16" s="24" t="str">
        <f aca="false">IF(L16="","",IFERROR(P16/M16,0))</f>
        <v/>
      </c>
      <c r="T16" s="16" t="n">
        <f aca="false">IF(L16="",-999999999,P16+(1000-ROW())*0.0000001)</f>
        <v>-999999999</v>
      </c>
    </row>
    <row r="17" customFormat="false" ht="15" hidden="false" customHeight="false" outlineLevel="0" collapsed="false">
      <c r="A17" s="17" t="n">
        <f aca="false">ROW()-4</f>
        <v>13</v>
      </c>
      <c r="B17" s="29" t="str">
        <f aca="false">IF($A17&gt;$K$2,"",INDEX($L$5:$L$24,$J17))</f>
        <v/>
      </c>
      <c r="C17" s="21" t="str">
        <f aca="false">IF($A17&gt;$K$2,"",INDEX($M$5:$M$24,$J17))</f>
        <v/>
      </c>
      <c r="D17" s="20" t="str">
        <f aca="false">IF($A17&gt;$K$2,"",INDEX($N$5:$N$24,$J17))</f>
        <v/>
      </c>
      <c r="E17" s="20" t="str">
        <f aca="false">IF($A17&gt;$K$2,"",INDEX($O$5:$O$24,$J17))</f>
        <v/>
      </c>
      <c r="F17" s="21" t="str">
        <f aca="false">IF($A17&gt;$K$2,"",INDEX($P$5:$P$24,$J17))</f>
        <v/>
      </c>
      <c r="G17" s="20" t="str">
        <f aca="false">IF($A17&gt;$K$2,"",INDEX($Q$5:$Q$24,$J17))</f>
        <v/>
      </c>
      <c r="H17" s="24" t="str">
        <f aca="false">IF($A17&gt;$K$2,"",INDEX($R$5:$R$24,$J17))</f>
        <v/>
      </c>
      <c r="I17" s="24" t="str">
        <f aca="false">IF($A17&gt;$K$2,"",INDEX($S$5:$S$24,$J17))</f>
        <v/>
      </c>
      <c r="J17" s="16" t="n">
        <f aca="false">MATCH(LARGE($T$5:$T$24,A17),$T$5:$T$24,0)</f>
        <v>4</v>
      </c>
      <c r="L17" s="16" t="str">
        <f aca="false">'Product Costing'!A16&amp;""</f>
        <v/>
      </c>
      <c r="M17" s="20" t="str">
        <f aca="false">'Product Costing'!AC16</f>
        <v/>
      </c>
      <c r="N17" s="20" t="str">
        <f aca="false">IF(L17="","",M17*(1+Default_Retail_Markup))</f>
        <v/>
      </c>
      <c r="O17" s="20" t="str">
        <f aca="false">IF(L17="","",M17*(1+Default_Wholesale_Markup))</f>
        <v/>
      </c>
      <c r="P17" s="20" t="str">
        <f aca="false">IF(L17="","",N17-M17)</f>
        <v/>
      </c>
      <c r="Q17" s="20" t="str">
        <f aca="false">IF(L17="","",O17-M17)</f>
        <v/>
      </c>
      <c r="R17" s="24" t="str">
        <f aca="false">IF(L17="","",IFERROR(P17/N17,0))</f>
        <v/>
      </c>
      <c r="S17" s="24" t="str">
        <f aca="false">IF(L17="","",IFERROR(P17/M17,0))</f>
        <v/>
      </c>
      <c r="T17" s="16" t="n">
        <f aca="false">IF(L17="",-999999999,P17+(1000-ROW())*0.0000001)</f>
        <v>-999999999</v>
      </c>
    </row>
    <row r="18" customFormat="false" ht="15" hidden="false" customHeight="false" outlineLevel="0" collapsed="false">
      <c r="A18" s="17" t="n">
        <f aca="false">ROW()-4</f>
        <v>14</v>
      </c>
      <c r="B18" s="29" t="str">
        <f aca="false">IF($A18&gt;$K$2,"",INDEX($L$5:$L$24,$J18))</f>
        <v/>
      </c>
      <c r="C18" s="21" t="str">
        <f aca="false">IF($A18&gt;$K$2,"",INDEX($M$5:$M$24,$J18))</f>
        <v/>
      </c>
      <c r="D18" s="20" t="str">
        <f aca="false">IF($A18&gt;$K$2,"",INDEX($N$5:$N$24,$J18))</f>
        <v/>
      </c>
      <c r="E18" s="20" t="str">
        <f aca="false">IF($A18&gt;$K$2,"",INDEX($O$5:$O$24,$J18))</f>
        <v/>
      </c>
      <c r="F18" s="21" t="str">
        <f aca="false">IF($A18&gt;$K$2,"",INDEX($P$5:$P$24,$J18))</f>
        <v/>
      </c>
      <c r="G18" s="20" t="str">
        <f aca="false">IF($A18&gt;$K$2,"",INDEX($Q$5:$Q$24,$J18))</f>
        <v/>
      </c>
      <c r="H18" s="24" t="str">
        <f aca="false">IF($A18&gt;$K$2,"",INDEX($R$5:$R$24,$J18))</f>
        <v/>
      </c>
      <c r="I18" s="24" t="str">
        <f aca="false">IF($A18&gt;$K$2,"",INDEX($S$5:$S$24,$J18))</f>
        <v/>
      </c>
      <c r="J18" s="16" t="n">
        <f aca="false">MATCH(LARGE($T$5:$T$24,A18),$T$5:$T$24,0)</f>
        <v>4</v>
      </c>
      <c r="L18" s="16" t="str">
        <f aca="false">'Product Costing'!A17&amp;""</f>
        <v/>
      </c>
      <c r="M18" s="20" t="str">
        <f aca="false">'Product Costing'!AC17</f>
        <v/>
      </c>
      <c r="N18" s="20" t="str">
        <f aca="false">IF(L18="","",M18*(1+Default_Retail_Markup))</f>
        <v/>
      </c>
      <c r="O18" s="20" t="str">
        <f aca="false">IF(L18="","",M18*(1+Default_Wholesale_Markup))</f>
        <v/>
      </c>
      <c r="P18" s="20" t="str">
        <f aca="false">IF(L18="","",N18-M18)</f>
        <v/>
      </c>
      <c r="Q18" s="20" t="str">
        <f aca="false">IF(L18="","",O18-M18)</f>
        <v/>
      </c>
      <c r="R18" s="24" t="str">
        <f aca="false">IF(L18="","",IFERROR(P18/N18,0))</f>
        <v/>
      </c>
      <c r="S18" s="24" t="str">
        <f aca="false">IF(L18="","",IFERROR(P18/M18,0))</f>
        <v/>
      </c>
      <c r="T18" s="16" t="n">
        <f aca="false">IF(L18="",-999999999,P18+(1000-ROW())*0.0000001)</f>
        <v>-999999999</v>
      </c>
    </row>
    <row r="19" customFormat="false" ht="15" hidden="false" customHeight="false" outlineLevel="0" collapsed="false">
      <c r="A19" s="17" t="n">
        <f aca="false">ROW()-4</f>
        <v>15</v>
      </c>
      <c r="B19" s="29" t="str">
        <f aca="false">IF($A19&gt;$K$2,"",INDEX($L$5:$L$24,$J19))</f>
        <v/>
      </c>
      <c r="C19" s="21" t="str">
        <f aca="false">IF($A19&gt;$K$2,"",INDEX($M$5:$M$24,$J19))</f>
        <v/>
      </c>
      <c r="D19" s="20" t="str">
        <f aca="false">IF($A19&gt;$K$2,"",INDEX($N$5:$N$24,$J19))</f>
        <v/>
      </c>
      <c r="E19" s="20" t="str">
        <f aca="false">IF($A19&gt;$K$2,"",INDEX($O$5:$O$24,$J19))</f>
        <v/>
      </c>
      <c r="F19" s="21" t="str">
        <f aca="false">IF($A19&gt;$K$2,"",INDEX($P$5:$P$24,$J19))</f>
        <v/>
      </c>
      <c r="G19" s="20" t="str">
        <f aca="false">IF($A19&gt;$K$2,"",INDEX($Q$5:$Q$24,$J19))</f>
        <v/>
      </c>
      <c r="H19" s="24" t="str">
        <f aca="false">IF($A19&gt;$K$2,"",INDEX($R$5:$R$24,$J19))</f>
        <v/>
      </c>
      <c r="I19" s="24" t="str">
        <f aca="false">IF($A19&gt;$K$2,"",INDEX($S$5:$S$24,$J19))</f>
        <v/>
      </c>
      <c r="J19" s="16" t="n">
        <f aca="false">MATCH(LARGE($T$5:$T$24,A19),$T$5:$T$24,0)</f>
        <v>4</v>
      </c>
      <c r="L19" s="16" t="str">
        <f aca="false">'Product Costing'!A18&amp;""</f>
        <v/>
      </c>
      <c r="M19" s="20" t="str">
        <f aca="false">'Product Costing'!AC18</f>
        <v/>
      </c>
      <c r="N19" s="20" t="str">
        <f aca="false">IF(L19="","",M19*(1+Default_Retail_Markup))</f>
        <v/>
      </c>
      <c r="O19" s="20" t="str">
        <f aca="false">IF(L19="","",M19*(1+Default_Wholesale_Markup))</f>
        <v/>
      </c>
      <c r="P19" s="20" t="str">
        <f aca="false">IF(L19="","",N19-M19)</f>
        <v/>
      </c>
      <c r="Q19" s="20" t="str">
        <f aca="false">IF(L19="","",O19-M19)</f>
        <v/>
      </c>
      <c r="R19" s="24" t="str">
        <f aca="false">IF(L19="","",IFERROR(P19/N19,0))</f>
        <v/>
      </c>
      <c r="S19" s="24" t="str">
        <f aca="false">IF(L19="","",IFERROR(P19/M19,0))</f>
        <v/>
      </c>
      <c r="T19" s="16" t="n">
        <f aca="false">IF(L19="",-999999999,P19+(1000-ROW())*0.0000001)</f>
        <v>-999999999</v>
      </c>
    </row>
    <row r="20" customFormat="false" ht="15" hidden="false" customHeight="false" outlineLevel="0" collapsed="false">
      <c r="A20" s="17" t="n">
        <f aca="false">ROW()-4</f>
        <v>16</v>
      </c>
      <c r="B20" s="29" t="str">
        <f aca="false">IF($A20&gt;$K$2,"",INDEX($L$5:$L$24,$J20))</f>
        <v/>
      </c>
      <c r="C20" s="21" t="str">
        <f aca="false">IF($A20&gt;$K$2,"",INDEX($M$5:$M$24,$J20))</f>
        <v/>
      </c>
      <c r="D20" s="20" t="str">
        <f aca="false">IF($A20&gt;$K$2,"",INDEX($N$5:$N$24,$J20))</f>
        <v/>
      </c>
      <c r="E20" s="20" t="str">
        <f aca="false">IF($A20&gt;$K$2,"",INDEX($O$5:$O$24,$J20))</f>
        <v/>
      </c>
      <c r="F20" s="21" t="str">
        <f aca="false">IF($A20&gt;$K$2,"",INDEX($P$5:$P$24,$J20))</f>
        <v/>
      </c>
      <c r="G20" s="20" t="str">
        <f aca="false">IF($A20&gt;$K$2,"",INDEX($Q$5:$Q$24,$J20))</f>
        <v/>
      </c>
      <c r="H20" s="24" t="str">
        <f aca="false">IF($A20&gt;$K$2,"",INDEX($R$5:$R$24,$J20))</f>
        <v/>
      </c>
      <c r="I20" s="24" t="str">
        <f aca="false">IF($A20&gt;$K$2,"",INDEX($S$5:$S$24,$J20))</f>
        <v/>
      </c>
      <c r="J20" s="16" t="n">
        <f aca="false">MATCH(LARGE($T$5:$T$24,A20),$T$5:$T$24,0)</f>
        <v>4</v>
      </c>
      <c r="L20" s="16" t="str">
        <f aca="false">'Product Costing'!A19&amp;""</f>
        <v/>
      </c>
      <c r="M20" s="20" t="str">
        <f aca="false">'Product Costing'!AC19</f>
        <v/>
      </c>
      <c r="N20" s="20" t="str">
        <f aca="false">IF(L20="","",M20*(1+Default_Retail_Markup))</f>
        <v/>
      </c>
      <c r="O20" s="20" t="str">
        <f aca="false">IF(L20="","",M20*(1+Default_Wholesale_Markup))</f>
        <v/>
      </c>
      <c r="P20" s="20" t="str">
        <f aca="false">IF(L20="","",N20-M20)</f>
        <v/>
      </c>
      <c r="Q20" s="20" t="str">
        <f aca="false">IF(L20="","",O20-M20)</f>
        <v/>
      </c>
      <c r="R20" s="24" t="str">
        <f aca="false">IF(L20="","",IFERROR(P20/N20,0))</f>
        <v/>
      </c>
      <c r="S20" s="24" t="str">
        <f aca="false">IF(L20="","",IFERROR(P20/M20,0))</f>
        <v/>
      </c>
      <c r="T20" s="16" t="n">
        <f aca="false">IF(L20="",-999999999,P20+(1000-ROW())*0.0000001)</f>
        <v>-999999999</v>
      </c>
    </row>
    <row r="21" customFormat="false" ht="15" hidden="false" customHeight="false" outlineLevel="0" collapsed="false">
      <c r="A21" s="17" t="n">
        <f aca="false">ROW()-4</f>
        <v>17</v>
      </c>
      <c r="B21" s="29" t="str">
        <f aca="false">IF($A21&gt;$K$2,"",INDEX($L$5:$L$24,$J21))</f>
        <v/>
      </c>
      <c r="C21" s="21" t="str">
        <f aca="false">IF($A21&gt;$K$2,"",INDEX($M$5:$M$24,$J21))</f>
        <v/>
      </c>
      <c r="D21" s="20" t="str">
        <f aca="false">IF($A21&gt;$K$2,"",INDEX($N$5:$N$24,$J21))</f>
        <v/>
      </c>
      <c r="E21" s="20" t="str">
        <f aca="false">IF($A21&gt;$K$2,"",INDEX($O$5:$O$24,$J21))</f>
        <v/>
      </c>
      <c r="F21" s="21" t="str">
        <f aca="false">IF($A21&gt;$K$2,"",INDEX($P$5:$P$24,$J21))</f>
        <v/>
      </c>
      <c r="G21" s="20" t="str">
        <f aca="false">IF($A21&gt;$K$2,"",INDEX($Q$5:$Q$24,$J21))</f>
        <v/>
      </c>
      <c r="H21" s="24" t="str">
        <f aca="false">IF($A21&gt;$K$2,"",INDEX($R$5:$R$24,$J21))</f>
        <v/>
      </c>
      <c r="I21" s="24" t="str">
        <f aca="false">IF($A21&gt;$K$2,"",INDEX($S$5:$S$24,$J21))</f>
        <v/>
      </c>
      <c r="J21" s="16" t="n">
        <f aca="false">MATCH(LARGE($T$5:$T$24,A21),$T$5:$T$24,0)</f>
        <v>4</v>
      </c>
      <c r="L21" s="16" t="str">
        <f aca="false">'Product Costing'!A20&amp;""</f>
        <v/>
      </c>
      <c r="M21" s="20" t="str">
        <f aca="false">'Product Costing'!AC20</f>
        <v/>
      </c>
      <c r="N21" s="20" t="str">
        <f aca="false">IF(L21="","",M21*(1+Default_Retail_Markup))</f>
        <v/>
      </c>
      <c r="O21" s="20" t="str">
        <f aca="false">IF(L21="","",M21*(1+Default_Wholesale_Markup))</f>
        <v/>
      </c>
      <c r="P21" s="20" t="str">
        <f aca="false">IF(L21="","",N21-M21)</f>
        <v/>
      </c>
      <c r="Q21" s="20" t="str">
        <f aca="false">IF(L21="","",O21-M21)</f>
        <v/>
      </c>
      <c r="R21" s="24" t="str">
        <f aca="false">IF(L21="","",IFERROR(P21/N21,0))</f>
        <v/>
      </c>
      <c r="S21" s="24" t="str">
        <f aca="false">IF(L21="","",IFERROR(P21/M21,0))</f>
        <v/>
      </c>
      <c r="T21" s="16" t="n">
        <f aca="false">IF(L21="",-999999999,P21+(1000-ROW())*0.0000001)</f>
        <v>-999999999</v>
      </c>
    </row>
    <row r="22" customFormat="false" ht="15" hidden="false" customHeight="false" outlineLevel="0" collapsed="false">
      <c r="A22" s="17" t="n">
        <f aca="false">ROW()-4</f>
        <v>18</v>
      </c>
      <c r="B22" s="29" t="str">
        <f aca="false">IF($A22&gt;$K$2,"",INDEX($L$5:$L$24,$J22))</f>
        <v/>
      </c>
      <c r="C22" s="21" t="str">
        <f aca="false">IF($A22&gt;$K$2,"",INDEX($M$5:$M$24,$J22))</f>
        <v/>
      </c>
      <c r="D22" s="20" t="str">
        <f aca="false">IF($A22&gt;$K$2,"",INDEX($N$5:$N$24,$J22))</f>
        <v/>
      </c>
      <c r="E22" s="20" t="str">
        <f aca="false">IF($A22&gt;$K$2,"",INDEX($O$5:$O$24,$J22))</f>
        <v/>
      </c>
      <c r="F22" s="21" t="str">
        <f aca="false">IF($A22&gt;$K$2,"",INDEX($P$5:$P$24,$J22))</f>
        <v/>
      </c>
      <c r="G22" s="20" t="str">
        <f aca="false">IF($A22&gt;$K$2,"",INDEX($Q$5:$Q$24,$J22))</f>
        <v/>
      </c>
      <c r="H22" s="24" t="str">
        <f aca="false">IF($A22&gt;$K$2,"",INDEX($R$5:$R$24,$J22))</f>
        <v/>
      </c>
      <c r="I22" s="24" t="str">
        <f aca="false">IF($A22&gt;$K$2,"",INDEX($S$5:$S$24,$J22))</f>
        <v/>
      </c>
      <c r="J22" s="16" t="n">
        <f aca="false">MATCH(LARGE($T$5:$T$24,A22),$T$5:$T$24,0)</f>
        <v>4</v>
      </c>
      <c r="L22" s="16" t="str">
        <f aca="false">'Product Costing'!A21&amp;""</f>
        <v/>
      </c>
      <c r="M22" s="20" t="str">
        <f aca="false">'Product Costing'!AC21</f>
        <v/>
      </c>
      <c r="N22" s="20" t="str">
        <f aca="false">IF(L22="","",M22*(1+Default_Retail_Markup))</f>
        <v/>
      </c>
      <c r="O22" s="20" t="str">
        <f aca="false">IF(L22="","",M22*(1+Default_Wholesale_Markup))</f>
        <v/>
      </c>
      <c r="P22" s="20" t="str">
        <f aca="false">IF(L22="","",N22-M22)</f>
        <v/>
      </c>
      <c r="Q22" s="20" t="str">
        <f aca="false">IF(L22="","",O22-M22)</f>
        <v/>
      </c>
      <c r="R22" s="24" t="str">
        <f aca="false">IF(L22="","",IFERROR(P22/N22,0))</f>
        <v/>
      </c>
      <c r="S22" s="24" t="str">
        <f aca="false">IF(L22="","",IFERROR(P22/M22,0))</f>
        <v/>
      </c>
      <c r="T22" s="16" t="n">
        <f aca="false">IF(L22="",-999999999,P22+(1000-ROW())*0.0000001)</f>
        <v>-999999999</v>
      </c>
    </row>
    <row r="23" customFormat="false" ht="15" hidden="false" customHeight="false" outlineLevel="0" collapsed="false">
      <c r="A23" s="17" t="n">
        <f aca="false">ROW()-4</f>
        <v>19</v>
      </c>
      <c r="B23" s="29" t="str">
        <f aca="false">IF($A23&gt;$K$2,"",INDEX($L$5:$L$24,$J23))</f>
        <v/>
      </c>
      <c r="C23" s="21" t="str">
        <f aca="false">IF($A23&gt;$K$2,"",INDEX($M$5:$M$24,$J23))</f>
        <v/>
      </c>
      <c r="D23" s="20" t="str">
        <f aca="false">IF($A23&gt;$K$2,"",INDEX($N$5:$N$24,$J23))</f>
        <v/>
      </c>
      <c r="E23" s="20" t="str">
        <f aca="false">IF($A23&gt;$K$2,"",INDEX($O$5:$O$24,$J23))</f>
        <v/>
      </c>
      <c r="F23" s="21" t="str">
        <f aca="false">IF($A23&gt;$K$2,"",INDEX($P$5:$P$24,$J23))</f>
        <v/>
      </c>
      <c r="G23" s="20" t="str">
        <f aca="false">IF($A23&gt;$K$2,"",INDEX($Q$5:$Q$24,$J23))</f>
        <v/>
      </c>
      <c r="H23" s="24" t="str">
        <f aca="false">IF($A23&gt;$K$2,"",INDEX($R$5:$R$24,$J23))</f>
        <v/>
      </c>
      <c r="I23" s="24" t="str">
        <f aca="false">IF($A23&gt;$K$2,"",INDEX($S$5:$S$24,$J23))</f>
        <v/>
      </c>
      <c r="J23" s="16" t="n">
        <f aca="false">MATCH(LARGE($T$5:$T$24,A23),$T$5:$T$24,0)</f>
        <v>4</v>
      </c>
      <c r="L23" s="16" t="str">
        <f aca="false">'Product Costing'!A22&amp;""</f>
        <v/>
      </c>
      <c r="M23" s="20" t="str">
        <f aca="false">'Product Costing'!AC22</f>
        <v/>
      </c>
      <c r="N23" s="20" t="str">
        <f aca="false">IF(L23="","",M23*(1+Default_Retail_Markup))</f>
        <v/>
      </c>
      <c r="O23" s="20" t="str">
        <f aca="false">IF(L23="","",M23*(1+Default_Wholesale_Markup))</f>
        <v/>
      </c>
      <c r="P23" s="20" t="str">
        <f aca="false">IF(L23="","",N23-M23)</f>
        <v/>
      </c>
      <c r="Q23" s="20" t="str">
        <f aca="false">IF(L23="","",O23-M23)</f>
        <v/>
      </c>
      <c r="R23" s="24" t="str">
        <f aca="false">IF(L23="","",IFERROR(P23/N23,0))</f>
        <v/>
      </c>
      <c r="S23" s="24" t="str">
        <f aca="false">IF(L23="","",IFERROR(P23/M23,0))</f>
        <v/>
      </c>
      <c r="T23" s="16" t="n">
        <f aca="false">IF(L23="",-999999999,P23+(1000-ROW())*0.0000001)</f>
        <v>-999999999</v>
      </c>
    </row>
    <row r="24" customFormat="false" ht="15" hidden="false" customHeight="false" outlineLevel="0" collapsed="false">
      <c r="A24" s="17" t="n">
        <f aca="false">ROW()-4</f>
        <v>20</v>
      </c>
      <c r="B24" s="29" t="str">
        <f aca="false">IF($A24&gt;$K$2,"",INDEX($L$5:$L$24,$J24))</f>
        <v/>
      </c>
      <c r="C24" s="21" t="str">
        <f aca="false">IF($A24&gt;$K$2,"",INDEX($M$5:$M$24,$J24))</f>
        <v/>
      </c>
      <c r="D24" s="20" t="str">
        <f aca="false">IF($A24&gt;$K$2,"",INDEX($N$5:$N$24,$J24))</f>
        <v/>
      </c>
      <c r="E24" s="20" t="str">
        <f aca="false">IF($A24&gt;$K$2,"",INDEX($O$5:$O$24,$J24))</f>
        <v/>
      </c>
      <c r="F24" s="21" t="str">
        <f aca="false">IF($A24&gt;$K$2,"",INDEX($P$5:$P$24,$J24))</f>
        <v/>
      </c>
      <c r="G24" s="20" t="str">
        <f aca="false">IF($A24&gt;$K$2,"",INDEX($Q$5:$Q$24,$J24))</f>
        <v/>
      </c>
      <c r="H24" s="24" t="str">
        <f aca="false">IF($A24&gt;$K$2,"",INDEX($R$5:$R$24,$J24))</f>
        <v/>
      </c>
      <c r="I24" s="24" t="str">
        <f aca="false">IF($A24&gt;$K$2,"",INDEX($S$5:$S$24,$J24))</f>
        <v/>
      </c>
      <c r="J24" s="16" t="n">
        <f aca="false">MATCH(LARGE($T$5:$T$24,A24),$T$5:$T$24,0)</f>
        <v>4</v>
      </c>
      <c r="L24" s="16" t="str">
        <f aca="false">'Product Costing'!A23&amp;""</f>
        <v/>
      </c>
      <c r="M24" s="20" t="str">
        <f aca="false">'Product Costing'!AC23</f>
        <v/>
      </c>
      <c r="N24" s="20" t="str">
        <f aca="false">IF(L24="","",M24*(1+Default_Retail_Markup))</f>
        <v/>
      </c>
      <c r="O24" s="20" t="str">
        <f aca="false">IF(L24="","",M24*(1+Default_Wholesale_Markup))</f>
        <v/>
      </c>
      <c r="P24" s="20" t="str">
        <f aca="false">IF(L24="","",N24-M24)</f>
        <v/>
      </c>
      <c r="Q24" s="20" t="str">
        <f aca="false">IF(L24="","",O24-M24)</f>
        <v/>
      </c>
      <c r="R24" s="24" t="str">
        <f aca="false">IF(L24="","",IFERROR(P24/N24,0))</f>
        <v/>
      </c>
      <c r="S24" s="24" t="str">
        <f aca="false">IF(L24="","",IFERROR(P24/M24,0))</f>
        <v/>
      </c>
      <c r="T24" s="16" t="n">
        <f aca="false">IF(L24="",-999999999,P24+(1000-ROW())*0.0000001)</f>
        <v>-999999999</v>
      </c>
    </row>
  </sheetData>
  <sheetProtection sheet="true" formatCells="false" formatColumns="false" formatRows="false" sort="false" autoFilter="false"/>
  <mergeCells count="3">
    <mergeCell ref="A1:I1"/>
    <mergeCell ref="A2:I2"/>
    <mergeCell ref="L4:T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3"/>
    <col collapsed="false" customWidth="true" hidden="false" outlineLevel="0" max="4" min="4" style="0" width="46"/>
  </cols>
  <sheetData>
    <row r="1" customFormat="false" ht="25.5" hidden="false" customHeight="true" outlineLevel="0" collapsed="false">
      <c r="A1" s="1" t="s">
        <v>272</v>
      </c>
      <c r="B1" s="1"/>
      <c r="C1" s="1"/>
      <c r="D1" s="1"/>
    </row>
    <row r="2" customFormat="false" ht="15" hidden="false" customHeight="true" outlineLevel="0" collapsed="false">
      <c r="A2" s="2" t="s">
        <v>273</v>
      </c>
      <c r="B2" s="2"/>
      <c r="C2" s="2"/>
      <c r="D2" s="2"/>
    </row>
    <row r="4" customFormat="false" ht="15" hidden="false" customHeight="false" outlineLevel="0" collapsed="false">
      <c r="A4" s="8" t="s">
        <v>225</v>
      </c>
      <c r="B4" s="12" t="s">
        <v>106</v>
      </c>
    </row>
    <row r="6" customFormat="false" ht="18" hidden="false" customHeight="true" outlineLevel="0" collapsed="false">
      <c r="A6" s="3" t="s">
        <v>274</v>
      </c>
      <c r="B6" s="3"/>
      <c r="C6" s="3"/>
      <c r="D6" s="3"/>
    </row>
    <row r="7" customFormat="false" ht="15" hidden="false" customHeight="false" outlineLevel="0" collapsed="false">
      <c r="A7" s="11" t="s">
        <v>275</v>
      </c>
      <c r="B7" s="18" t="n">
        <v>500</v>
      </c>
    </row>
    <row r="8" customFormat="false" ht="15" hidden="false" customHeight="false" outlineLevel="0" collapsed="false">
      <c r="A8" s="11" t="s">
        <v>276</v>
      </c>
      <c r="B8" s="18" t="n">
        <v>200</v>
      </c>
    </row>
    <row r="9" customFormat="false" ht="15" hidden="false" customHeight="false" outlineLevel="0" collapsed="false">
      <c r="A9" s="11" t="s">
        <v>277</v>
      </c>
      <c r="B9" s="18" t="n">
        <v>350</v>
      </c>
    </row>
    <row r="10" customFormat="false" ht="15" hidden="false" customHeight="false" outlineLevel="0" collapsed="false">
      <c r="A10" s="8" t="s">
        <v>278</v>
      </c>
      <c r="B10" s="30" t="n">
        <f aca="false">B7+B8-B9</f>
        <v>350</v>
      </c>
    </row>
    <row r="11" customFormat="false" ht="15" hidden="false" customHeight="false" outlineLevel="0" collapsed="false">
      <c r="A11" s="11" t="s">
        <v>279</v>
      </c>
      <c r="B11" s="20" t="n">
        <f aca="false">IFERROR(INDEX('Product Costing'!$AC$4:$AC$23,MATCH($B$4,'Product Costing'!$A$4:$A$23,0)),0)</f>
        <v>21.875</v>
      </c>
      <c r="D11" s="13" t="s">
        <v>280</v>
      </c>
    </row>
    <row r="12" customFormat="false" ht="15" hidden="false" customHeight="false" outlineLevel="0" collapsed="false">
      <c r="A12" s="8" t="s">
        <v>281</v>
      </c>
      <c r="B12" s="23" t="n">
        <f aca="false">B10*B11</f>
        <v>7656.25</v>
      </c>
    </row>
  </sheetData>
  <sheetProtection sheet="true" formatCells="false" formatColumns="false" formatRows="false" sort="false" autoFilter="false"/>
  <mergeCells count="3">
    <mergeCell ref="A1:D1"/>
    <mergeCell ref="A2:D2"/>
    <mergeCell ref="A6:D6"/>
  </mergeCells>
  <dataValidations count="1">
    <dataValidation allowBlank="true" errorStyle="stop" operator="between" showDropDown="false" showErrorMessage="false" showInputMessage="false" sqref="B4" type="list">
      <formula1>'Product Costing'!$A$4:$A$23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2026-07-25T07:28:32Z</dcterms:created>
  <dc:creator>openpyxl</dc:creator>
  <dc:description/>
  <dc:language>en-US</dc:language>
  <cp:lastModifiedBy/>
  <dcterms:modified xsi:type="dcterms:W3CDTF">2026-07-25T07:28:34Z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